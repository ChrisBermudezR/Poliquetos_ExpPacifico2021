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drawings/drawing2.xml" ContentType="application/vnd.openxmlformats-officedocument.drawing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LIPE\Documents\DIMAR\2021\Investigación\Expedición Pacífico\SP-21-0231_S04\"/>
    </mc:Choice>
  </mc:AlternateContent>
  <xr:revisionPtr revIDLastSave="0" documentId="13_ncr:1_{B27866AC-323D-42BA-AD4A-33548C31749D}" xr6:coauthVersionLast="47" xr6:coauthVersionMax="47" xr10:uidLastSave="{00000000-0000-0000-0000-000000000000}"/>
  <bookViews>
    <workbookView xWindow="30" yWindow="390" windowWidth="20460" windowHeight="11040" tabRatio="728" activeTab="1" xr2:uid="{00000000-000D-0000-FFFF-FFFF00000000}"/>
  </bookViews>
  <sheets>
    <sheet name="Densidad_Grandes_Grupos" sheetId="2" r:id="rId1"/>
    <sheet name="Densidad_Poliquetos" sheetId="3" r:id="rId2"/>
    <sheet name="Cálculos_Dens_Grandes_Grupos" sheetId="4" r:id="rId3"/>
    <sheet name="Cálculos_Dens_Poliqueto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3" i="5" l="1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62" i="5"/>
  <c r="D60" i="5"/>
  <c r="D61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42" i="5"/>
  <c r="D37" i="5"/>
  <c r="D38" i="5"/>
  <c r="D39" i="5"/>
  <c r="D40" i="5"/>
  <c r="D41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2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B10" i="5"/>
  <c r="E10" i="5" s="1"/>
  <c r="F10" i="5" s="1"/>
  <c r="B2" i="5"/>
  <c r="B7" i="5" s="1"/>
  <c r="C81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62" i="5"/>
  <c r="C60" i="5"/>
  <c r="C61" i="5"/>
  <c r="C58" i="5"/>
  <c r="C59" i="5"/>
  <c r="C51" i="5"/>
  <c r="C52" i="5"/>
  <c r="C53" i="5"/>
  <c r="C54" i="5"/>
  <c r="C55" i="5"/>
  <c r="C56" i="5"/>
  <c r="C57" i="5"/>
  <c r="C43" i="5"/>
  <c r="C44" i="5"/>
  <c r="C45" i="5"/>
  <c r="C46" i="5"/>
  <c r="C47" i="5"/>
  <c r="C48" i="5"/>
  <c r="C49" i="5"/>
  <c r="C50" i="5"/>
  <c r="C42" i="5"/>
  <c r="C41" i="5"/>
  <c r="C37" i="5"/>
  <c r="C38" i="5"/>
  <c r="C39" i="5"/>
  <c r="C40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22" i="5"/>
  <c r="C2" i="5"/>
  <c r="C21" i="5"/>
  <c r="C20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B2" i="4"/>
  <c r="B4" i="4" s="1"/>
  <c r="B74" i="5" l="1"/>
  <c r="E74" i="5" s="1"/>
  <c r="F74" i="5" s="1"/>
  <c r="B42" i="5"/>
  <c r="E42" i="5" s="1"/>
  <c r="F42" i="5" s="1"/>
  <c r="B62" i="5"/>
  <c r="E62" i="5" s="1"/>
  <c r="F62" i="5" s="1"/>
  <c r="B30" i="5"/>
  <c r="E30" i="5" s="1"/>
  <c r="F30" i="5" s="1"/>
  <c r="B58" i="5"/>
  <c r="E58" i="5" s="1"/>
  <c r="F58" i="5" s="1"/>
  <c r="B26" i="5"/>
  <c r="E26" i="5" s="1"/>
  <c r="F26" i="5" s="1"/>
  <c r="B78" i="5"/>
  <c r="E78" i="5" s="1"/>
  <c r="F78" i="5" s="1"/>
  <c r="B46" i="5"/>
  <c r="E46" i="5" s="1"/>
  <c r="F46" i="5" s="1"/>
  <c r="B14" i="5"/>
  <c r="E14" i="5" s="1"/>
  <c r="F14" i="5" s="1"/>
  <c r="B70" i="5"/>
  <c r="E70" i="5" s="1"/>
  <c r="F70" i="5" s="1"/>
  <c r="B54" i="5"/>
  <c r="E54" i="5" s="1"/>
  <c r="F54" i="5" s="1"/>
  <c r="B38" i="5"/>
  <c r="E38" i="5" s="1"/>
  <c r="F38" i="5" s="1"/>
  <c r="B22" i="5"/>
  <c r="E22" i="5" s="1"/>
  <c r="F22" i="5" s="1"/>
  <c r="B6" i="5"/>
  <c r="E6" i="5" s="1"/>
  <c r="F6" i="5" s="1"/>
  <c r="B3" i="5"/>
  <c r="E3" i="5" s="1"/>
  <c r="F3" i="5" s="1"/>
  <c r="B66" i="5"/>
  <c r="E66" i="5" s="1"/>
  <c r="F66" i="5" s="1"/>
  <c r="B50" i="5"/>
  <c r="E50" i="5" s="1"/>
  <c r="F50" i="5" s="1"/>
  <c r="B34" i="5"/>
  <c r="E34" i="5" s="1"/>
  <c r="F34" i="5" s="1"/>
  <c r="B18" i="5"/>
  <c r="E18" i="5" s="1"/>
  <c r="F18" i="5" s="1"/>
  <c r="E7" i="5"/>
  <c r="F7" i="5" s="1"/>
  <c r="B81" i="5"/>
  <c r="E81" i="5" s="1"/>
  <c r="F81" i="5" s="1"/>
  <c r="B77" i="5"/>
  <c r="E77" i="5" s="1"/>
  <c r="F77" i="5" s="1"/>
  <c r="B73" i="5"/>
  <c r="E73" i="5" s="1"/>
  <c r="F73" i="5" s="1"/>
  <c r="B69" i="5"/>
  <c r="E69" i="5" s="1"/>
  <c r="F69" i="5" s="1"/>
  <c r="B65" i="5"/>
  <c r="E65" i="5" s="1"/>
  <c r="F65" i="5" s="1"/>
  <c r="B61" i="5"/>
  <c r="E61" i="5" s="1"/>
  <c r="F61" i="5" s="1"/>
  <c r="B57" i="5"/>
  <c r="E57" i="5" s="1"/>
  <c r="F57" i="5" s="1"/>
  <c r="B53" i="5"/>
  <c r="E53" i="5" s="1"/>
  <c r="F53" i="5" s="1"/>
  <c r="B49" i="5"/>
  <c r="E49" i="5" s="1"/>
  <c r="F49" i="5" s="1"/>
  <c r="B45" i="5"/>
  <c r="E45" i="5" s="1"/>
  <c r="F45" i="5" s="1"/>
  <c r="B41" i="5"/>
  <c r="E41" i="5" s="1"/>
  <c r="F41" i="5" s="1"/>
  <c r="B37" i="5"/>
  <c r="E37" i="5" s="1"/>
  <c r="F37" i="5" s="1"/>
  <c r="B33" i="5"/>
  <c r="E33" i="5" s="1"/>
  <c r="F33" i="5" s="1"/>
  <c r="B29" i="5"/>
  <c r="E29" i="5" s="1"/>
  <c r="F29" i="5" s="1"/>
  <c r="B25" i="5"/>
  <c r="E25" i="5" s="1"/>
  <c r="F25" i="5" s="1"/>
  <c r="B21" i="5"/>
  <c r="E21" i="5" s="1"/>
  <c r="F21" i="5" s="1"/>
  <c r="B17" i="5"/>
  <c r="E17" i="5" s="1"/>
  <c r="F17" i="5" s="1"/>
  <c r="B13" i="5"/>
  <c r="E13" i="5" s="1"/>
  <c r="F13" i="5" s="1"/>
  <c r="B9" i="5"/>
  <c r="E9" i="5" s="1"/>
  <c r="F9" i="5" s="1"/>
  <c r="B5" i="5"/>
  <c r="E5" i="5" s="1"/>
  <c r="F5" i="5" s="1"/>
  <c r="B80" i="5"/>
  <c r="E80" i="5" s="1"/>
  <c r="F80" i="5" s="1"/>
  <c r="B76" i="5"/>
  <c r="E76" i="5" s="1"/>
  <c r="F76" i="5" s="1"/>
  <c r="B72" i="5"/>
  <c r="E72" i="5" s="1"/>
  <c r="F72" i="5" s="1"/>
  <c r="B68" i="5"/>
  <c r="E68" i="5" s="1"/>
  <c r="F68" i="5" s="1"/>
  <c r="B64" i="5"/>
  <c r="E64" i="5" s="1"/>
  <c r="F64" i="5" s="1"/>
  <c r="B60" i="5"/>
  <c r="E60" i="5" s="1"/>
  <c r="F60" i="5" s="1"/>
  <c r="B56" i="5"/>
  <c r="E56" i="5" s="1"/>
  <c r="F56" i="5" s="1"/>
  <c r="B52" i="5"/>
  <c r="E52" i="5" s="1"/>
  <c r="F52" i="5" s="1"/>
  <c r="B48" i="5"/>
  <c r="E48" i="5" s="1"/>
  <c r="F48" i="5" s="1"/>
  <c r="B44" i="5"/>
  <c r="E44" i="5" s="1"/>
  <c r="F44" i="5" s="1"/>
  <c r="B40" i="5"/>
  <c r="E40" i="5" s="1"/>
  <c r="F40" i="5" s="1"/>
  <c r="B36" i="5"/>
  <c r="E36" i="5" s="1"/>
  <c r="F36" i="5" s="1"/>
  <c r="B32" i="5"/>
  <c r="E32" i="5" s="1"/>
  <c r="F32" i="5" s="1"/>
  <c r="B28" i="5"/>
  <c r="E28" i="5" s="1"/>
  <c r="F28" i="5" s="1"/>
  <c r="B24" i="5"/>
  <c r="E24" i="5" s="1"/>
  <c r="F24" i="5" s="1"/>
  <c r="B20" i="5"/>
  <c r="E20" i="5" s="1"/>
  <c r="F20" i="5" s="1"/>
  <c r="B16" i="5"/>
  <c r="E16" i="5" s="1"/>
  <c r="F16" i="5" s="1"/>
  <c r="B12" i="5"/>
  <c r="E12" i="5" s="1"/>
  <c r="F12" i="5" s="1"/>
  <c r="B8" i="5"/>
  <c r="E8" i="5" s="1"/>
  <c r="F8" i="5" s="1"/>
  <c r="B4" i="5"/>
  <c r="E4" i="5" s="1"/>
  <c r="F4" i="5" s="1"/>
  <c r="B79" i="5"/>
  <c r="E79" i="5" s="1"/>
  <c r="F79" i="5" s="1"/>
  <c r="B75" i="5"/>
  <c r="E75" i="5" s="1"/>
  <c r="F75" i="5" s="1"/>
  <c r="B71" i="5"/>
  <c r="E71" i="5" s="1"/>
  <c r="F71" i="5" s="1"/>
  <c r="B67" i="5"/>
  <c r="E67" i="5" s="1"/>
  <c r="F67" i="5" s="1"/>
  <c r="B63" i="5"/>
  <c r="E63" i="5" s="1"/>
  <c r="F63" i="5" s="1"/>
  <c r="B59" i="5"/>
  <c r="E59" i="5" s="1"/>
  <c r="F59" i="5" s="1"/>
  <c r="B55" i="5"/>
  <c r="E55" i="5" s="1"/>
  <c r="F55" i="5" s="1"/>
  <c r="B51" i="5"/>
  <c r="E51" i="5" s="1"/>
  <c r="F51" i="5" s="1"/>
  <c r="B47" i="5"/>
  <c r="E47" i="5" s="1"/>
  <c r="F47" i="5" s="1"/>
  <c r="B43" i="5"/>
  <c r="E43" i="5" s="1"/>
  <c r="F43" i="5" s="1"/>
  <c r="B39" i="5"/>
  <c r="E39" i="5" s="1"/>
  <c r="F39" i="5" s="1"/>
  <c r="B35" i="5"/>
  <c r="E35" i="5" s="1"/>
  <c r="F35" i="5" s="1"/>
  <c r="B31" i="5"/>
  <c r="E31" i="5" s="1"/>
  <c r="F31" i="5" s="1"/>
  <c r="B27" i="5"/>
  <c r="E27" i="5" s="1"/>
  <c r="F27" i="5" s="1"/>
  <c r="B23" i="5"/>
  <c r="E23" i="5" s="1"/>
  <c r="F23" i="5" s="1"/>
  <c r="B19" i="5"/>
  <c r="E19" i="5" s="1"/>
  <c r="F19" i="5" s="1"/>
  <c r="B15" i="5"/>
  <c r="E15" i="5" s="1"/>
  <c r="F15" i="5" s="1"/>
  <c r="B11" i="5"/>
  <c r="E11" i="5" s="1"/>
  <c r="F11" i="5" s="1"/>
  <c r="B75" i="4"/>
  <c r="B67" i="4"/>
  <c r="B59" i="4"/>
  <c r="B51" i="4"/>
  <c r="B43" i="4"/>
  <c r="B35" i="4"/>
  <c r="B27" i="4"/>
  <c r="B19" i="4"/>
  <c r="B7" i="4"/>
  <c r="B3" i="4"/>
  <c r="B78" i="4"/>
  <c r="B74" i="4"/>
  <c r="B70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B79" i="4"/>
  <c r="B71" i="4"/>
  <c r="B63" i="4"/>
  <c r="B55" i="4"/>
  <c r="B47" i="4"/>
  <c r="B39" i="4"/>
  <c r="B31" i="4"/>
  <c r="B23" i="4"/>
  <c r="B15" i="4"/>
  <c r="B11" i="4"/>
  <c r="B81" i="4"/>
  <c r="B77" i="4"/>
  <c r="B7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7" i="4"/>
  <c r="B13" i="4"/>
  <c r="B9" i="4"/>
  <c r="B5" i="4"/>
  <c r="B80" i="4"/>
  <c r="B76" i="4"/>
  <c r="B72" i="4"/>
  <c r="B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D2" i="5" l="1"/>
  <c r="E2" i="5" s="1"/>
  <c r="F2" i="5" s="1"/>
  <c r="A2" i="5"/>
  <c r="D63" i="4"/>
  <c r="E63" i="4" s="1"/>
  <c r="F63" i="4" s="1"/>
  <c r="D64" i="4"/>
  <c r="E64" i="4" s="1"/>
  <c r="F64" i="4" s="1"/>
  <c r="D65" i="4"/>
  <c r="E65" i="4" s="1"/>
  <c r="F65" i="4" s="1"/>
  <c r="D66" i="4"/>
  <c r="E66" i="4" s="1"/>
  <c r="F66" i="4" s="1"/>
  <c r="D67" i="4"/>
  <c r="E67" i="4" s="1"/>
  <c r="F67" i="4" s="1"/>
  <c r="D68" i="4"/>
  <c r="E68" i="4" s="1"/>
  <c r="F68" i="4" s="1"/>
  <c r="D69" i="4"/>
  <c r="E69" i="4" s="1"/>
  <c r="F69" i="4" s="1"/>
  <c r="D70" i="4"/>
  <c r="E70" i="4" s="1"/>
  <c r="F70" i="4" s="1"/>
  <c r="D71" i="4"/>
  <c r="E71" i="4" s="1"/>
  <c r="F71" i="4" s="1"/>
  <c r="D72" i="4"/>
  <c r="E72" i="4" s="1"/>
  <c r="F72" i="4" s="1"/>
  <c r="D73" i="4"/>
  <c r="E73" i="4" s="1"/>
  <c r="F73" i="4" s="1"/>
  <c r="D74" i="4"/>
  <c r="E74" i="4" s="1"/>
  <c r="F74" i="4" s="1"/>
  <c r="D75" i="4"/>
  <c r="E75" i="4" s="1"/>
  <c r="F75" i="4" s="1"/>
  <c r="D76" i="4"/>
  <c r="E76" i="4" s="1"/>
  <c r="F76" i="4" s="1"/>
  <c r="D77" i="4"/>
  <c r="E77" i="4" s="1"/>
  <c r="F77" i="4" s="1"/>
  <c r="D78" i="4"/>
  <c r="E78" i="4" s="1"/>
  <c r="F78" i="4" s="1"/>
  <c r="D79" i="4"/>
  <c r="E79" i="4" s="1"/>
  <c r="F79" i="4" s="1"/>
  <c r="D80" i="4"/>
  <c r="E80" i="4" s="1"/>
  <c r="F80" i="4" s="1"/>
  <c r="D81" i="4"/>
  <c r="E81" i="4" s="1"/>
  <c r="F81" i="4" s="1"/>
  <c r="D62" i="4"/>
  <c r="E62" i="4" s="1"/>
  <c r="F62" i="4" s="1"/>
  <c r="D43" i="4"/>
  <c r="E43" i="4" s="1"/>
  <c r="F43" i="4" s="1"/>
  <c r="D44" i="4"/>
  <c r="E44" i="4" s="1"/>
  <c r="F44" i="4" s="1"/>
  <c r="D45" i="4"/>
  <c r="E45" i="4" s="1"/>
  <c r="F45" i="4" s="1"/>
  <c r="D46" i="4"/>
  <c r="E46" i="4" s="1"/>
  <c r="F46" i="4" s="1"/>
  <c r="D47" i="4"/>
  <c r="E47" i="4" s="1"/>
  <c r="F47" i="4" s="1"/>
  <c r="D48" i="4"/>
  <c r="E48" i="4" s="1"/>
  <c r="F48" i="4" s="1"/>
  <c r="D49" i="4"/>
  <c r="E49" i="4" s="1"/>
  <c r="F49" i="4" s="1"/>
  <c r="D50" i="4"/>
  <c r="E50" i="4" s="1"/>
  <c r="F50" i="4" s="1"/>
  <c r="D51" i="4"/>
  <c r="E51" i="4" s="1"/>
  <c r="F51" i="4" s="1"/>
  <c r="D52" i="4"/>
  <c r="E52" i="4" s="1"/>
  <c r="F52" i="4" s="1"/>
  <c r="D53" i="4"/>
  <c r="E53" i="4" s="1"/>
  <c r="F53" i="4" s="1"/>
  <c r="D54" i="4"/>
  <c r="E54" i="4" s="1"/>
  <c r="F54" i="4" s="1"/>
  <c r="D55" i="4"/>
  <c r="E55" i="4" s="1"/>
  <c r="F55" i="4" s="1"/>
  <c r="D56" i="4"/>
  <c r="E56" i="4" s="1"/>
  <c r="F56" i="4" s="1"/>
  <c r="D57" i="4"/>
  <c r="E57" i="4" s="1"/>
  <c r="F57" i="4" s="1"/>
  <c r="D58" i="4"/>
  <c r="E58" i="4" s="1"/>
  <c r="F58" i="4" s="1"/>
  <c r="D59" i="4"/>
  <c r="E59" i="4" s="1"/>
  <c r="F59" i="4" s="1"/>
  <c r="D60" i="4"/>
  <c r="E60" i="4" s="1"/>
  <c r="F60" i="4" s="1"/>
  <c r="D61" i="4"/>
  <c r="E61" i="4" s="1"/>
  <c r="F61" i="4" s="1"/>
  <c r="D42" i="4"/>
  <c r="E42" i="4" s="1"/>
  <c r="F42" i="4" s="1"/>
  <c r="D23" i="4"/>
  <c r="E23" i="4" s="1"/>
  <c r="F23" i="4" s="1"/>
  <c r="D24" i="4"/>
  <c r="E24" i="4" s="1"/>
  <c r="F24" i="4" s="1"/>
  <c r="D25" i="4"/>
  <c r="E25" i="4" s="1"/>
  <c r="F25" i="4" s="1"/>
  <c r="D26" i="4"/>
  <c r="E26" i="4" s="1"/>
  <c r="F26" i="4" s="1"/>
  <c r="D27" i="4"/>
  <c r="E27" i="4" s="1"/>
  <c r="F27" i="4" s="1"/>
  <c r="D28" i="4"/>
  <c r="E28" i="4" s="1"/>
  <c r="F28" i="4" s="1"/>
  <c r="D29" i="4"/>
  <c r="E29" i="4" s="1"/>
  <c r="F29" i="4" s="1"/>
  <c r="D30" i="4"/>
  <c r="E30" i="4" s="1"/>
  <c r="F30" i="4" s="1"/>
  <c r="D31" i="4"/>
  <c r="E31" i="4" s="1"/>
  <c r="F31" i="4" s="1"/>
  <c r="D32" i="4"/>
  <c r="E32" i="4" s="1"/>
  <c r="F32" i="4" s="1"/>
  <c r="D33" i="4"/>
  <c r="E33" i="4" s="1"/>
  <c r="F33" i="4" s="1"/>
  <c r="D34" i="4"/>
  <c r="E34" i="4" s="1"/>
  <c r="F34" i="4" s="1"/>
  <c r="D35" i="4"/>
  <c r="E35" i="4" s="1"/>
  <c r="F35" i="4" s="1"/>
  <c r="D36" i="4"/>
  <c r="E36" i="4" s="1"/>
  <c r="F36" i="4" s="1"/>
  <c r="D37" i="4"/>
  <c r="E37" i="4" s="1"/>
  <c r="F37" i="4" s="1"/>
  <c r="D38" i="4"/>
  <c r="E38" i="4" s="1"/>
  <c r="F38" i="4" s="1"/>
  <c r="D39" i="4"/>
  <c r="E39" i="4" s="1"/>
  <c r="F39" i="4" s="1"/>
  <c r="D40" i="4"/>
  <c r="E40" i="4" s="1"/>
  <c r="F40" i="4" s="1"/>
  <c r="D41" i="4"/>
  <c r="E41" i="4" s="1"/>
  <c r="F41" i="4" s="1"/>
  <c r="D22" i="4"/>
  <c r="E22" i="4" s="1"/>
  <c r="F22" i="4" s="1"/>
  <c r="D12" i="4"/>
  <c r="E12" i="4" s="1"/>
  <c r="F12" i="4" s="1"/>
  <c r="D13" i="4"/>
  <c r="E13" i="4" s="1"/>
  <c r="F13" i="4" s="1"/>
  <c r="D14" i="4"/>
  <c r="E14" i="4" s="1"/>
  <c r="F14" i="4" s="1"/>
  <c r="D15" i="4"/>
  <c r="E15" i="4" s="1"/>
  <c r="F15" i="4" s="1"/>
  <c r="D16" i="4"/>
  <c r="E16" i="4" s="1"/>
  <c r="F16" i="4" s="1"/>
  <c r="D17" i="4"/>
  <c r="E17" i="4" s="1"/>
  <c r="F17" i="4" s="1"/>
  <c r="D18" i="4"/>
  <c r="E18" i="4" s="1"/>
  <c r="F18" i="4" s="1"/>
  <c r="D19" i="4"/>
  <c r="E19" i="4" s="1"/>
  <c r="F19" i="4" s="1"/>
  <c r="D20" i="4"/>
  <c r="E20" i="4" s="1"/>
  <c r="F20" i="4" s="1"/>
  <c r="D21" i="4"/>
  <c r="E21" i="4" s="1"/>
  <c r="F21" i="4" s="1"/>
  <c r="C81" i="4"/>
  <c r="C78" i="4"/>
  <c r="C79" i="4"/>
  <c r="C80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62" i="4"/>
  <c r="C60" i="4"/>
  <c r="C61" i="4"/>
  <c r="C56" i="4"/>
  <c r="C57" i="4"/>
  <c r="C58" i="4"/>
  <c r="C59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42" i="4"/>
  <c r="C37" i="4"/>
  <c r="C38" i="4"/>
  <c r="C39" i="4"/>
  <c r="C40" i="4"/>
  <c r="C41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2" i="4"/>
  <c r="C13" i="4"/>
  <c r="C14" i="4"/>
  <c r="C15" i="4"/>
  <c r="C16" i="4"/>
  <c r="C17" i="4"/>
  <c r="C18" i="4"/>
  <c r="C19" i="4"/>
  <c r="C20" i="4"/>
  <c r="C21" i="4"/>
  <c r="C12" i="4"/>
  <c r="C3" i="4"/>
  <c r="C4" i="4"/>
  <c r="C5" i="4"/>
  <c r="C6" i="4"/>
  <c r="C7" i="4"/>
  <c r="C8" i="4"/>
  <c r="C9" i="4"/>
  <c r="C10" i="4"/>
  <c r="C11" i="4"/>
  <c r="D3" i="4"/>
  <c r="E3" i="4" s="1"/>
  <c r="F3" i="4" s="1"/>
  <c r="D4" i="4"/>
  <c r="E4" i="4" s="1"/>
  <c r="F4" i="4" s="1"/>
  <c r="D5" i="4"/>
  <c r="E5" i="4" s="1"/>
  <c r="F5" i="4" s="1"/>
  <c r="D6" i="4"/>
  <c r="E6" i="4" s="1"/>
  <c r="F6" i="4" s="1"/>
  <c r="D7" i="4"/>
  <c r="E7" i="4" s="1"/>
  <c r="F7" i="4" s="1"/>
  <c r="D8" i="4"/>
  <c r="E8" i="4" s="1"/>
  <c r="F8" i="4" s="1"/>
  <c r="D9" i="4"/>
  <c r="E9" i="4" s="1"/>
  <c r="F9" i="4" s="1"/>
  <c r="D10" i="4"/>
  <c r="E10" i="4" s="1"/>
  <c r="F10" i="4" s="1"/>
  <c r="D11" i="4"/>
  <c r="E11" i="4" s="1"/>
  <c r="F11" i="4" s="1"/>
  <c r="D2" i="4"/>
  <c r="E2" i="4" s="1"/>
  <c r="F2" i="4" s="1"/>
  <c r="C2" i="4"/>
  <c r="A2" i="4"/>
  <c r="A47" i="4" s="1"/>
  <c r="A7" i="5" l="1"/>
  <c r="A11" i="5"/>
  <c r="A15" i="5"/>
  <c r="A19" i="5"/>
  <c r="A23" i="5"/>
  <c r="A27" i="5"/>
  <c r="A31" i="5"/>
  <c r="A35" i="5"/>
  <c r="A39" i="5"/>
  <c r="A43" i="5"/>
  <c r="A47" i="5"/>
  <c r="A51" i="5"/>
  <c r="A55" i="5"/>
  <c r="A59" i="5"/>
  <c r="A63" i="5"/>
  <c r="A67" i="5"/>
  <c r="A71" i="5"/>
  <c r="A75" i="5"/>
  <c r="A79" i="5"/>
  <c r="A8" i="5"/>
  <c r="A12" i="5"/>
  <c r="A16" i="5"/>
  <c r="A20" i="5"/>
  <c r="A24" i="5"/>
  <c r="A28" i="5"/>
  <c r="A32" i="5"/>
  <c r="A36" i="5"/>
  <c r="A40" i="5"/>
  <c r="A44" i="5"/>
  <c r="A48" i="5"/>
  <c r="A52" i="5"/>
  <c r="A56" i="5"/>
  <c r="A60" i="5"/>
  <c r="A64" i="5"/>
  <c r="A68" i="5"/>
  <c r="A72" i="5"/>
  <c r="A76" i="5"/>
  <c r="A80" i="5"/>
  <c r="A5" i="5"/>
  <c r="A9" i="5"/>
  <c r="A13" i="5"/>
  <c r="A17" i="5"/>
  <c r="A21" i="5"/>
  <c r="A25" i="5"/>
  <c r="A29" i="5"/>
  <c r="A33" i="5"/>
  <c r="A37" i="5"/>
  <c r="A41" i="5"/>
  <c r="A45" i="5"/>
  <c r="A49" i="5"/>
  <c r="A53" i="5"/>
  <c r="A57" i="5"/>
  <c r="A61" i="5"/>
  <c r="A65" i="5"/>
  <c r="A69" i="5"/>
  <c r="A73" i="5"/>
  <c r="A77" i="5"/>
  <c r="A81" i="5"/>
  <c r="A6" i="5"/>
  <c r="A10" i="5"/>
  <c r="A14" i="5"/>
  <c r="A18" i="5"/>
  <c r="A22" i="5"/>
  <c r="A26" i="5"/>
  <c r="A30" i="5"/>
  <c r="A34" i="5"/>
  <c r="A38" i="5"/>
  <c r="A42" i="5"/>
  <c r="A46" i="5"/>
  <c r="A50" i="5"/>
  <c r="A54" i="5"/>
  <c r="A58" i="5"/>
  <c r="A62" i="5"/>
  <c r="A66" i="5"/>
  <c r="A70" i="5"/>
  <c r="A74" i="5"/>
  <c r="A78" i="5"/>
  <c r="A3" i="5"/>
  <c r="A4" i="5"/>
  <c r="A81" i="4"/>
  <c r="A79" i="4"/>
  <c r="A77" i="4"/>
  <c r="A75" i="4"/>
  <c r="A73" i="4"/>
  <c r="A71" i="4"/>
  <c r="A68" i="4"/>
  <c r="A67" i="4"/>
  <c r="A65" i="4"/>
  <c r="A59" i="4"/>
  <c r="A51" i="4"/>
  <c r="A3" i="4"/>
  <c r="A5" i="4"/>
  <c r="A7" i="4"/>
  <c r="A9" i="4"/>
  <c r="A11" i="4"/>
  <c r="A66" i="4"/>
  <c r="A61" i="4"/>
  <c r="A53" i="4"/>
  <c r="A80" i="4"/>
  <c r="A78" i="4"/>
  <c r="A76" i="4"/>
  <c r="A74" i="4"/>
  <c r="A72" i="4"/>
  <c r="A70" i="4"/>
  <c r="A63" i="4"/>
  <c r="A55" i="4"/>
  <c r="A14" i="4"/>
  <c r="A16" i="4"/>
  <c r="A18" i="4"/>
  <c r="A20" i="4"/>
  <c r="A22" i="4"/>
  <c r="A24" i="4"/>
  <c r="A26" i="4"/>
  <c r="A28" i="4"/>
  <c r="A30" i="4"/>
  <c r="A32" i="4"/>
  <c r="A34" i="4"/>
  <c r="A36" i="4"/>
  <c r="A38" i="4"/>
  <c r="A40" i="4"/>
  <c r="A42" i="4"/>
  <c r="A44" i="4"/>
  <c r="A46" i="4"/>
  <c r="A48" i="4"/>
  <c r="A50" i="4"/>
  <c r="A52" i="4"/>
  <c r="A54" i="4"/>
  <c r="A56" i="4"/>
  <c r="A58" i="4"/>
  <c r="A60" i="4"/>
  <c r="A62" i="4"/>
  <c r="A13" i="4"/>
  <c r="A15" i="4"/>
  <c r="A17" i="4"/>
  <c r="A19" i="4"/>
  <c r="A21" i="4"/>
  <c r="A23" i="4"/>
  <c r="A25" i="4"/>
  <c r="A27" i="4"/>
  <c r="A29" i="4"/>
  <c r="A31" i="4"/>
  <c r="A33" i="4"/>
  <c r="A35" i="4"/>
  <c r="A37" i="4"/>
  <c r="A39" i="4"/>
  <c r="A41" i="4"/>
  <c r="A43" i="4"/>
  <c r="A45" i="4"/>
  <c r="A4" i="4"/>
  <c r="A6" i="4"/>
  <c r="A8" i="4"/>
  <c r="A10" i="4"/>
  <c r="A12" i="4"/>
  <c r="A69" i="4"/>
  <c r="A64" i="4"/>
  <c r="A57" i="4"/>
  <c r="A49" i="4"/>
</calcChain>
</file>

<file path=xl/sharedStrings.xml><?xml version="1.0" encoding="utf-8"?>
<sst xmlns="http://schemas.openxmlformats.org/spreadsheetml/2006/main" count="130" uniqueCount="65">
  <si>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</si>
  <si>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</si>
  <si>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</si>
  <si>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</si>
  <si>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</si>
  <si>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</si>
  <si>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</si>
  <si>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</si>
  <si>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</si>
  <si>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</si>
  <si>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</si>
  <si>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</si>
  <si>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</si>
  <si>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</si>
  <si>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</si>
  <si>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</si>
  <si>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</si>
  <si>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</si>
  <si>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</si>
  <si>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</si>
  <si>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</si>
  <si>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</si>
  <si>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</si>
  <si>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</si>
  <si>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</si>
  <si>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</si>
  <si>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</si>
  <si>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</si>
  <si>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</si>
  <si>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</si>
  <si>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</si>
  <si>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</si>
  <si>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</si>
  <si>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</si>
  <si>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</si>
  <si>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</si>
  <si>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X</t>
  </si>
  <si>
    <t>Código</t>
  </si>
  <si>
    <t>Taxón</t>
  </si>
  <si>
    <t>Conteo en Laboratorio</t>
  </si>
  <si>
    <t>PLANCTON 
ZOO [    ]   FITO [   ]</t>
  </si>
  <si>
    <t>N/A</t>
  </si>
  <si>
    <t>Felipe Molina</t>
  </si>
  <si>
    <t>Olympus</t>
  </si>
  <si>
    <t>Estereomicroscopio</t>
  </si>
  <si>
    <t>SZ61</t>
  </si>
  <si>
    <t>4E41147</t>
  </si>
  <si>
    <t>8004060000000000000021013</t>
  </si>
  <si>
    <t>Ind/cm2</t>
  </si>
  <si>
    <t>Area</t>
  </si>
  <si>
    <t>ind/m2</t>
  </si>
  <si>
    <t>Área</t>
  </si>
  <si>
    <t>Ind/m2</t>
  </si>
  <si>
    <t>17</t>
  </si>
  <si>
    <t>Polychaeta</t>
  </si>
  <si>
    <t>SP-21-0231</t>
  </si>
  <si>
    <r>
      <t xml:space="preserve">Loandalia </t>
    </r>
    <r>
      <rPr>
        <sz val="11"/>
        <color theme="1"/>
        <rFont val="Calibri"/>
        <family val="2"/>
        <scheme val="minor"/>
      </rPr>
      <t>sp (Pilargidae)</t>
    </r>
  </si>
  <si>
    <t>Amphipoda</t>
  </si>
  <si>
    <r>
      <t xml:space="preserve">Caulleryaspis </t>
    </r>
    <r>
      <rPr>
        <sz val="11"/>
        <color theme="1"/>
        <rFont val="Calibri"/>
        <family val="2"/>
        <scheme val="minor"/>
      </rPr>
      <t>sp (Sternaspidae)</t>
    </r>
  </si>
  <si>
    <t>Vermiforme</t>
  </si>
  <si>
    <t>Capitellidae</t>
  </si>
  <si>
    <t>Orbiniidae</t>
  </si>
  <si>
    <r>
      <t xml:space="preserve">Arabella </t>
    </r>
    <r>
      <rPr>
        <sz val="11"/>
        <color theme="1"/>
        <rFont val="Calibri"/>
        <family val="2"/>
        <scheme val="minor"/>
      </rPr>
      <t>sp (Oenonidae)</t>
    </r>
  </si>
  <si>
    <r>
      <t xml:space="preserve">Magelona papillicornis </t>
    </r>
    <r>
      <rPr>
        <sz val="11"/>
        <color theme="1"/>
        <rFont val="Calibri"/>
        <family val="2"/>
        <scheme val="minor"/>
      </rPr>
      <t>(Magelonidae)</t>
    </r>
  </si>
  <si>
    <r>
      <t xml:space="preserve">Paraprionospio </t>
    </r>
    <r>
      <rPr>
        <sz val="11"/>
        <color theme="1"/>
        <rFont val="Calibri"/>
        <family val="2"/>
        <scheme val="minor"/>
      </rPr>
      <t>sp (Spionidae)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</si>
</sst>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64" formatCode="yyyy\-mm\-dd;@"/>
    <numFmt numFmtId="165" formatCode="0.0000"/>
    <numFmt numFmtId="166" formatCode="0.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17" fillId="0" borderId="0"/>
  </cellStyleXfs>
  <cellXfs count="146">
    <xf numFmtId="0" fontId="0" fillId="0" borderId="0" xfId="0"/>
    <xf numFmtId="0" fontId="17" fillId="0" borderId="0" xfId="0" applyFont="1" applyProtection="1"/>
    <xf numFmtId="49" fontId="17" fillId="0" borderId="0" xfId="0" applyNumberFormat="1" applyFont="1" applyProtection="1"/>
    <xf numFmtId="0" fontId="17" fillId="0" borderId="0" xfId="0" applyFont="1" applyBorder="1" applyProtection="1"/>
    <xf numFmtId="0" fontId="19" fillId="2" borderId="0" xfId="0" applyFont="1" applyFill="1" applyBorder="1" applyAlignment="1" applyProtection="1">
      <alignment horizontal="center" vertical="center"/>
    </xf>
    <xf numFmtId="0" fontId="19" fillId="2" borderId="0" xfId="0" applyFont="1" applyFill="1" applyBorder="1" applyAlignment="1" applyProtection="1">
      <alignment horizontal="left" vertical="center" wrapText="1"/>
    </xf>
    <xf numFmtId="0" fontId="22" fillId="0" borderId="0" xfId="1" applyFont="1" applyBorder="1" applyAlignment="1">
      <alignment horizontal="center" vertical="top" wrapText="1"/>
    </xf>
    <xf numFmtId="0" fontId="17" fillId="0" borderId="0" xfId="0" applyFont="1" applyBorder="1" applyAlignment="1" applyProtection="1">
      <alignment horizontal="center"/>
    </xf>
    <xf numFmtId="0" fontId="27" fillId="0" borderId="0" xfId="0" applyFont="1" applyBorder="1" applyAlignment="1">
      <alignment vertical="center"/>
    </xf>
    <xf numFmtId="0" fontId="17" fillId="0" borderId="0" xfId="0" applyFont="1" applyFill="1" applyProtection="1"/>
    <xf numFmtId="0" fontId="17" fillId="0" borderId="0" xfId="0" applyFont="1" applyFill="1" applyBorder="1" applyProtection="1"/>
    <xf numFmtId="49" fontId="17" fillId="0" borderId="0" xfId="0" applyNumberFormat="1" applyFont="1" applyFill="1" applyBorder="1" applyProtection="1"/>
    <xf numFmtId="0" fontId="21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 applyProtection="1">
      <alignment horizontal="center" vertical="center"/>
    </xf>
    <xf numFmtId="0" fontId="21" fillId="0" borderId="0" xfId="0" applyFont="1" applyFill="1" applyBorder="1" applyAlignment="1">
      <alignment horizontal="right" vertical="center" wrapText="1"/>
    </xf>
    <xf numFmtId="0" fontId="17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17" fillId="0" borderId="2" xfId="0" applyFont="1" applyBorder="1" applyAlignment="1" applyProtection="1"/>
    <xf numFmtId="0" fontId="17" fillId="0" borderId="2" xfId="0" applyFont="1" applyBorder="1" applyAlignment="1" applyProtection="1">
      <alignment vertical="center"/>
    </xf>
    <xf numFmtId="0" fontId="17" fillId="0" borderId="2" xfId="0" applyFont="1" applyBorder="1" applyProtection="1"/>
    <xf numFmtId="0" fontId="18" fillId="3" borderId="0" xfId="0" applyFont="1" applyFill="1" applyBorder="1" applyAlignment="1" applyProtection="1">
      <alignment horizontal="center" vertical="center"/>
    </xf>
    <xf numFmtId="49" fontId="17" fillId="0" borderId="0" xfId="0" applyNumberFormat="1" applyFont="1" applyBorder="1" applyProtection="1"/>
    <xf numFmtId="0" fontId="21" fillId="3" borderId="0" xfId="0" applyFont="1" applyFill="1" applyBorder="1" applyAlignment="1">
      <alignment horizontal="right" vertical="center" wrapText="1"/>
    </xf>
    <xf numFmtId="0" fontId="21" fillId="3" borderId="0" xfId="0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49" fontId="17" fillId="0" borderId="2" xfId="0" applyNumberFormat="1" applyFont="1" applyBorder="1" applyAlignment="1" applyProtection="1">
      <alignment horizontal="center" vertical="center"/>
    </xf>
    <xf numFmtId="0" fontId="22" fillId="0" borderId="0" xfId="1" applyFont="1" applyBorder="1" applyAlignment="1">
      <alignment horizontal="center" vertical="top" wrapText="1"/>
    </xf>
    <xf numFmtId="49" fontId="17" fillId="0" borderId="2" xfId="0" applyNumberFormat="1" applyFont="1" applyBorder="1" applyAlignment="1" applyProtection="1">
      <alignment horizontal="center" vertical="center"/>
    </xf>
    <xf numFmtId="0" fontId="17" fillId="0" borderId="0" xfId="1"/>
    <xf numFmtId="14" fontId="17" fillId="0" borderId="0" xfId="1" applyNumberFormat="1"/>
    <xf numFmtId="1" fontId="17" fillId="0" borderId="0" xfId="1" applyNumberFormat="1"/>
    <xf numFmtId="2" fontId="17" fillId="0" borderId="0" xfId="1" applyNumberFormat="1"/>
    <xf numFmtId="0" fontId="18" fillId="0" borderId="0" xfId="1" applyFont="1" applyAlignment="1">
      <alignment horizontal="center" vertical="center"/>
    </xf>
    <xf numFmtId="166" fontId="17" fillId="0" borderId="0" xfId="1" applyNumberFormat="1"/>
    <xf numFmtId="41" fontId="18" fillId="0" borderId="0" xfId="1" applyNumberFormat="1" applyFont="1" applyAlignment="1">
      <alignment horizontal="center" vertical="center"/>
    </xf>
    <xf numFmtId="41" fontId="17" fillId="0" borderId="0" xfId="1" applyNumberFormat="1"/>
    <xf numFmtId="0" fontId="17" fillId="0" borderId="3" xfId="0" applyFont="1" applyFill="1" applyBorder="1" applyAlignment="1">
      <alignment horizontal="left" vertical="center"/>
    </xf>
    <xf numFmtId="0" fontId="17" fillId="0" borderId="4" xfId="0" applyFont="1" applyFill="1" applyBorder="1" applyAlignment="1">
      <alignment horizontal="left" vertical="center"/>
    </xf>
    <xf numFmtId="0" fontId="17" fillId="0" borderId="5" xfId="0" applyFont="1" applyFill="1" applyBorder="1" applyAlignment="1">
      <alignment horizontal="left" vertical="center"/>
    </xf>
    <xf numFmtId="0" fontId="17" fillId="0" borderId="3" xfId="0" applyFont="1" applyFill="1" applyBorder="1" applyAlignment="1" applyProtection="1">
      <alignment horizontal="center"/>
    </xf>
    <xf numFmtId="0" fontId="17" fillId="0" borderId="4" xfId="0" applyFont="1" applyFill="1" applyBorder="1" applyAlignment="1" applyProtection="1">
      <alignment horizontal="center"/>
    </xf>
    <xf numFmtId="0" fontId="17" fillId="0" borderId="5" xfId="0" applyFont="1" applyFill="1" applyBorder="1" applyAlignment="1" applyProtection="1">
      <alignment horizontal="center"/>
    </xf>
    <xf numFmtId="0" fontId="20" fillId="3" borderId="2" xfId="0" applyFont="1" applyFill="1" applyBorder="1" applyAlignment="1" applyProtection="1">
      <alignment horizontal="center" vertical="center" wrapText="1"/>
    </xf>
    <xf numFmtId="0" fontId="18" fillId="3" borderId="2" xfId="0" applyFont="1" applyFill="1" applyBorder="1" applyAlignment="1" applyProtection="1">
      <alignment horizontal="center" vertical="center" wrapText="1"/>
    </xf>
    <xf numFmtId="0" fontId="17" fillId="0" borderId="13" xfId="0" applyFont="1" applyBorder="1" applyAlignment="1" applyProtection="1">
      <alignment horizontal="center"/>
    </xf>
    <xf numFmtId="0" fontId="17" fillId="0" borderId="9" xfId="0" applyFont="1" applyFill="1" applyBorder="1" applyAlignment="1" applyProtection="1">
      <alignment horizontal="center"/>
    </xf>
    <xf numFmtId="0" fontId="17" fillId="0" borderId="10" xfId="0" applyFont="1" applyFill="1" applyBorder="1" applyAlignment="1" applyProtection="1">
      <alignment horizontal="center"/>
    </xf>
    <xf numFmtId="0" fontId="17" fillId="0" borderId="11" xfId="0" applyFont="1" applyFill="1" applyBorder="1" applyAlignment="1" applyProtection="1">
      <alignment horizontal="center"/>
    </xf>
    <xf numFmtId="0" fontId="15" fillId="0" borderId="2" xfId="0" applyFont="1" applyBorder="1" applyAlignment="1">
      <alignment horizontal="left" vertical="center"/>
    </xf>
    <xf numFmtId="0" fontId="17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7" fillId="0" borderId="2" xfId="0" applyFont="1" applyBorder="1" applyAlignment="1" applyProtection="1">
      <alignment horizontal="left" vertical="center"/>
    </xf>
    <xf numFmtId="0" fontId="17" fillId="0" borderId="2" xfId="0" applyFont="1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0" fontId="9" fillId="0" borderId="4" xfId="0" applyFont="1" applyFill="1" applyBorder="1" applyAlignment="1">
      <alignment horizontal="left" vertical="center"/>
    </xf>
    <xf numFmtId="0" fontId="9" fillId="0" borderId="5" xfId="0" applyFont="1" applyFill="1" applyBorder="1" applyAlignment="1">
      <alignment horizontal="left" vertical="center"/>
    </xf>
    <xf numFmtId="0" fontId="8" fillId="0" borderId="3" xfId="0" applyFont="1" applyFill="1" applyBorder="1" applyAlignment="1">
      <alignment horizontal="left" vertical="center"/>
    </xf>
    <xf numFmtId="0" fontId="8" fillId="0" borderId="4" xfId="0" applyFont="1" applyFill="1" applyBorder="1" applyAlignment="1">
      <alignment horizontal="left" vertical="center"/>
    </xf>
    <xf numFmtId="0" fontId="8" fillId="0" borderId="5" xfId="0" applyFont="1" applyFill="1" applyBorder="1" applyAlignment="1">
      <alignment horizontal="left" vertical="center"/>
    </xf>
    <xf numFmtId="0" fontId="20" fillId="3" borderId="2" xfId="0" applyFont="1" applyFill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7" fillId="0" borderId="5" xfId="0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left" vertical="center"/>
    </xf>
    <xf numFmtId="0" fontId="12" fillId="0" borderId="4" xfId="0" applyFont="1" applyFill="1" applyBorder="1" applyAlignment="1">
      <alignment horizontal="left" vertical="center"/>
    </xf>
    <xf numFmtId="0" fontId="12" fillId="0" borderId="5" xfId="0" applyFont="1" applyFill="1" applyBorder="1" applyAlignment="1">
      <alignment horizontal="left" vertical="center"/>
    </xf>
    <xf numFmtId="0" fontId="7" fillId="0" borderId="3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left" vertical="center"/>
    </xf>
    <xf numFmtId="0" fontId="14" fillId="0" borderId="5" xfId="0" applyFont="1" applyFill="1" applyBorder="1" applyAlignment="1">
      <alignment horizontal="left" vertical="center"/>
    </xf>
    <xf numFmtId="0" fontId="13" fillId="0" borderId="4" xfId="0" applyFont="1" applyFill="1" applyBorder="1" applyAlignment="1">
      <alignment horizontal="left" vertical="center"/>
    </xf>
    <xf numFmtId="0" fontId="13" fillId="0" borderId="5" xfId="0" applyFont="1" applyFill="1" applyBorder="1" applyAlignment="1">
      <alignment horizontal="left" vertical="center"/>
    </xf>
    <xf numFmtId="0" fontId="10" fillId="0" borderId="3" xfId="0" applyFont="1" applyFill="1" applyBorder="1" applyAlignment="1">
      <alignment horizontal="left" vertical="center"/>
    </xf>
    <xf numFmtId="0" fontId="10" fillId="0" borderId="4" xfId="0" applyFont="1" applyFill="1" applyBorder="1" applyAlignment="1">
      <alignment horizontal="left" vertical="center"/>
    </xf>
    <xf numFmtId="0" fontId="10" fillId="0" borderId="5" xfId="0" applyFont="1" applyFill="1" applyBorder="1" applyAlignment="1">
      <alignment horizontal="left" vertical="center"/>
    </xf>
    <xf numFmtId="0" fontId="36" fillId="0" borderId="3" xfId="0" applyFont="1" applyFill="1" applyBorder="1" applyAlignment="1">
      <alignment horizontal="left" vertical="center"/>
    </xf>
    <xf numFmtId="0" fontId="36" fillId="0" borderId="4" xfId="0" applyFont="1" applyFill="1" applyBorder="1" applyAlignment="1">
      <alignment horizontal="left" vertical="center"/>
    </xf>
    <xf numFmtId="0" fontId="36" fillId="0" borderId="5" xfId="0" applyFont="1" applyFill="1" applyBorder="1" applyAlignment="1">
      <alignment horizontal="left" vertical="center"/>
    </xf>
    <xf numFmtId="0" fontId="11" fillId="0" borderId="3" xfId="0" applyFont="1" applyFill="1" applyBorder="1" applyAlignment="1">
      <alignment horizontal="left" vertical="center"/>
    </xf>
    <xf numFmtId="0" fontId="11" fillId="0" borderId="4" xfId="0" applyFont="1" applyFill="1" applyBorder="1" applyAlignment="1">
      <alignment horizontal="left" vertical="center"/>
    </xf>
    <xf numFmtId="0" fontId="11" fillId="0" borderId="5" xfId="0" applyFont="1" applyFill="1" applyBorder="1" applyAlignment="1">
      <alignment horizontal="left" vertical="center"/>
    </xf>
    <xf numFmtId="0" fontId="13" fillId="0" borderId="3" xfId="0" applyFont="1" applyFill="1" applyBorder="1" applyAlignment="1">
      <alignment horizontal="left" vertical="center"/>
    </xf>
    <xf numFmtId="0" fontId="17" fillId="3" borderId="2" xfId="0" applyFont="1" applyFill="1" applyBorder="1" applyAlignment="1" applyProtection="1">
      <alignment horizontal="center" vertical="center" wrapText="1"/>
    </xf>
    <xf numFmtId="0" fontId="28" fillId="3" borderId="3" xfId="0" applyFont="1" applyFill="1" applyBorder="1" applyAlignment="1">
      <alignment horizontal="center" wrapText="1"/>
    </xf>
    <xf numFmtId="0" fontId="28" fillId="3" borderId="4" xfId="0" applyFont="1" applyFill="1" applyBorder="1" applyAlignment="1">
      <alignment horizontal="center" wrapText="1"/>
    </xf>
    <xf numFmtId="0" fontId="28" fillId="3" borderId="5" xfId="0" applyFont="1" applyFill="1" applyBorder="1" applyAlignment="1">
      <alignment horizontal="center" wrapText="1"/>
    </xf>
    <xf numFmtId="0" fontId="6" fillId="0" borderId="3" xfId="0" applyFont="1" applyFill="1" applyBorder="1" applyAlignment="1">
      <alignment horizontal="left" vertical="center"/>
    </xf>
    <xf numFmtId="0" fontId="21" fillId="3" borderId="2" xfId="0" applyFont="1" applyFill="1" applyBorder="1" applyAlignment="1">
      <alignment horizontal="right" vertical="center" wrapText="1"/>
    </xf>
    <xf numFmtId="0" fontId="21" fillId="0" borderId="2" xfId="0" applyFont="1" applyFill="1" applyBorder="1" applyAlignment="1">
      <alignment horizontal="center" vertical="center" wrapText="1"/>
    </xf>
    <xf numFmtId="0" fontId="21" fillId="0" borderId="3" xfId="0" applyFont="1" applyFill="1" applyBorder="1" applyAlignment="1">
      <alignment horizontal="center" vertical="center" wrapText="1"/>
    </xf>
    <xf numFmtId="0" fontId="21" fillId="0" borderId="4" xfId="0" applyFont="1" applyFill="1" applyBorder="1" applyAlignment="1">
      <alignment horizontal="center" vertical="center" wrapText="1"/>
    </xf>
    <xf numFmtId="0" fontId="21" fillId="0" borderId="5" xfId="0" applyFont="1" applyFill="1" applyBorder="1" applyAlignment="1">
      <alignment horizontal="center" vertical="center" wrapText="1"/>
    </xf>
    <xf numFmtId="0" fontId="18" fillId="3" borderId="2" xfId="0" applyFont="1" applyFill="1" applyBorder="1" applyAlignment="1" applyProtection="1">
      <alignment horizontal="center" vertical="center"/>
    </xf>
    <xf numFmtId="0" fontId="3" fillId="0" borderId="3" xfId="0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22" fillId="0" borderId="0" xfId="1" applyFont="1" applyBorder="1" applyAlignment="1">
      <alignment horizontal="center" vertical="top" wrapText="1"/>
    </xf>
    <xf numFmtId="0" fontId="20" fillId="0" borderId="7" xfId="1" applyFont="1" applyBorder="1" applyAlignment="1">
      <alignment horizontal="left" vertical="center" wrapText="1"/>
    </xf>
    <xf numFmtId="0" fontId="20" fillId="0" borderId="0" xfId="1" applyFont="1" applyBorder="1" applyAlignment="1">
      <alignment horizontal="left" vertical="center" wrapText="1"/>
    </xf>
    <xf numFmtId="49" fontId="17" fillId="0" borderId="2" xfId="0" applyNumberFormat="1" applyFont="1" applyFill="1" applyBorder="1" applyAlignment="1">
      <alignment horizontal="center" vertical="center" wrapText="1"/>
    </xf>
    <xf numFmtId="0" fontId="30" fillId="3" borderId="2" xfId="0" applyFont="1" applyFill="1" applyBorder="1" applyAlignment="1">
      <alignment horizontal="right" vertical="center" wrapText="1"/>
    </xf>
    <xf numFmtId="0" fontId="17" fillId="0" borderId="2" xfId="0" applyFont="1" applyBorder="1" applyAlignment="1" applyProtection="1">
      <alignment horizontal="center" vertical="center"/>
    </xf>
    <xf numFmtId="0" fontId="17" fillId="3" borderId="2" xfId="0" applyFont="1" applyFill="1" applyBorder="1" applyAlignment="1">
      <alignment horizontal="right" vertical="center" wrapText="1"/>
    </xf>
    <xf numFmtId="0" fontId="18" fillId="0" borderId="8" xfId="1" applyFont="1" applyBorder="1" applyAlignment="1">
      <alignment horizontal="left" vertical="center" wrapText="1"/>
    </xf>
    <xf numFmtId="0" fontId="18" fillId="0" borderId="6" xfId="1" applyFont="1" applyBorder="1" applyAlignment="1">
      <alignment horizontal="left" vertical="center" wrapText="1"/>
    </xf>
    <xf numFmtId="0" fontId="17" fillId="3" borderId="3" xfId="0" applyFont="1" applyFill="1" applyBorder="1" applyAlignment="1">
      <alignment horizontal="right" vertical="center" wrapText="1"/>
    </xf>
    <xf numFmtId="49" fontId="17" fillId="3" borderId="2" xfId="0" applyNumberFormat="1" applyFont="1" applyFill="1" applyBorder="1" applyAlignment="1" applyProtection="1">
      <alignment horizontal="right" vertical="center" wrapText="1"/>
    </xf>
    <xf numFmtId="49" fontId="17" fillId="3" borderId="3" xfId="0" applyNumberFormat="1" applyFont="1" applyFill="1" applyBorder="1" applyAlignment="1" applyProtection="1">
      <alignment horizontal="right" vertical="center" wrapText="1"/>
    </xf>
    <xf numFmtId="164" fontId="17" fillId="0" borderId="3" xfId="0" applyNumberFormat="1" applyFont="1" applyBorder="1" applyAlignment="1" applyProtection="1">
      <alignment horizontal="center" vertical="center"/>
    </xf>
    <xf numFmtId="164" fontId="17" fillId="0" borderId="4" xfId="0" applyNumberFormat="1" applyFont="1" applyBorder="1" applyAlignment="1" applyProtection="1">
      <alignment horizontal="center" vertical="center"/>
    </xf>
    <xf numFmtId="164" fontId="17" fillId="0" borderId="5" xfId="0" applyNumberFormat="1" applyFont="1" applyBorder="1" applyAlignment="1" applyProtection="1">
      <alignment horizontal="center" vertical="center"/>
    </xf>
    <xf numFmtId="20" fontId="17" fillId="0" borderId="2" xfId="0" applyNumberFormat="1" applyFont="1" applyFill="1" applyBorder="1" applyAlignment="1">
      <alignment horizontal="center" vertical="center" wrapText="1"/>
    </xf>
    <xf numFmtId="0" fontId="17" fillId="0" borderId="2" xfId="0" applyFont="1" applyFill="1" applyBorder="1" applyAlignment="1">
      <alignment horizontal="center" vertical="center" wrapText="1"/>
    </xf>
    <xf numFmtId="0" fontId="18" fillId="3" borderId="2" xfId="0" applyFont="1" applyFill="1" applyBorder="1" applyAlignment="1">
      <alignment horizontal="right" vertical="center" wrapText="1"/>
    </xf>
    <xf numFmtId="49" fontId="17" fillId="0" borderId="2" xfId="0" applyNumberFormat="1" applyFont="1" applyBorder="1" applyAlignment="1" applyProtection="1">
      <alignment horizontal="center" vertical="center"/>
    </xf>
    <xf numFmtId="14" fontId="34" fillId="0" borderId="2" xfId="0" applyNumberFormat="1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 wrapText="1"/>
    </xf>
    <xf numFmtId="11" fontId="17" fillId="0" borderId="2" xfId="0" applyNumberFormat="1" applyFont="1" applyBorder="1" applyAlignment="1" applyProtection="1">
      <alignment horizontal="center" vertical="center"/>
    </xf>
    <xf numFmtId="0" fontId="17" fillId="0" borderId="3" xfId="0" applyFont="1" applyBorder="1" applyAlignment="1" applyProtection="1">
      <alignment horizontal="center" vertical="center"/>
    </xf>
    <xf numFmtId="0" fontId="17" fillId="0" borderId="4" xfId="0" applyFont="1" applyBorder="1" applyAlignment="1" applyProtection="1">
      <alignment horizontal="center" vertical="center"/>
    </xf>
    <xf numFmtId="0" fontId="17" fillId="0" borderId="5" xfId="0" applyFont="1" applyBorder="1" applyAlignment="1" applyProtection="1">
      <alignment horizontal="center" vertical="center"/>
    </xf>
    <xf numFmtId="165" fontId="17" fillId="0" borderId="2" xfId="0" applyNumberFormat="1" applyFont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right" vertical="center" wrapText="1"/>
    </xf>
    <xf numFmtId="49" fontId="17" fillId="3" borderId="2" xfId="0" applyNumberFormat="1" applyFont="1" applyFill="1" applyBorder="1" applyAlignment="1" applyProtection="1">
      <alignment horizontal="center" vertical="center" wrapText="1"/>
    </xf>
    <xf numFmtId="0" fontId="18" fillId="0" borderId="0" xfId="0" applyFont="1" applyBorder="1" applyAlignment="1" applyProtection="1">
      <alignment horizontal="center"/>
    </xf>
    <xf numFmtId="0" fontId="33" fillId="0" borderId="9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0" fontId="33" fillId="0" borderId="11" xfId="0" applyFont="1" applyFill="1" applyBorder="1" applyAlignment="1">
      <alignment horizontal="center" vertical="center"/>
    </xf>
    <xf numFmtId="0" fontId="33" fillId="0" borderId="7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37" fillId="0" borderId="2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15" fillId="0" borderId="4" xfId="0" applyFont="1" applyBorder="1" applyAlignment="1">
      <alignment horizontal="left" vertical="center"/>
    </xf>
    <xf numFmtId="0" fontId="15" fillId="0" borderId="5" xfId="0" applyFont="1" applyBorder="1" applyAlignment="1">
      <alignment horizontal="left" vertical="center"/>
    </xf>
    <xf numFmtId="0" fontId="37" fillId="0" borderId="3" xfId="0" applyFont="1" applyBorder="1" applyAlignment="1">
      <alignment horizontal="left" vertical="center"/>
    </xf>
    <xf numFmtId="0" fontId="37" fillId="0" borderId="4" xfId="0" applyFont="1" applyBorder="1" applyAlignment="1">
      <alignment horizontal="left" vertical="center"/>
    </xf>
    <xf numFmtId="0" fontId="37" fillId="0" borderId="5" xfId="0" applyFont="1" applyBorder="1" applyAlignment="1">
      <alignment horizontal="left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0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0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61" name="Button 213" hidden="1">
              <a:extLst>
                <a:ext uri="{63B3BB69-23CF-44E3-9099-C40C66FF867C}">
                  <a14:compatExt spid="_x0000_s2261"/>
                </a:ext>
                <a:ext uri="{FF2B5EF4-FFF2-40B4-BE49-F238E27FC236}">
                  <a16:creationId xmlns:a16="http://schemas.microsoft.com/office/drawing/2014/main" id="{00000000-0008-0000-0000-0000D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2" name="Button 214" hidden="1">
              <a:extLst>
                <a:ext uri="{63B3BB69-23CF-44E3-9099-C40C66FF867C}">
                  <a14:compatExt spid="_x0000_s2262"/>
                </a:ext>
                <a:ext uri="{FF2B5EF4-FFF2-40B4-BE49-F238E27FC236}">
                  <a16:creationId xmlns:a16="http://schemas.microsoft.com/office/drawing/2014/main" id="{00000000-0008-0000-0000-0000D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3" name="Button 215" hidden="1">
              <a:extLst>
                <a:ext uri="{63B3BB69-23CF-44E3-9099-C40C66FF867C}">
                  <a14:compatExt spid="_x0000_s2263"/>
                </a:ext>
                <a:ext uri="{FF2B5EF4-FFF2-40B4-BE49-F238E27FC236}">
                  <a16:creationId xmlns:a16="http://schemas.microsoft.com/office/drawing/2014/main" id="{00000000-0008-0000-0000-0000D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64" name="Button 216" hidden="1">
              <a:extLst>
                <a:ext uri="{63B3BB69-23CF-44E3-9099-C40C66FF867C}">
                  <a14:compatExt spid="_x0000_s2264"/>
                </a:ext>
                <a:ext uri="{FF2B5EF4-FFF2-40B4-BE49-F238E27FC236}">
                  <a16:creationId xmlns:a16="http://schemas.microsoft.com/office/drawing/2014/main" id="{00000000-0008-0000-0000-0000D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65" name="Button 217" hidden="1">
              <a:extLst>
                <a:ext uri="{63B3BB69-23CF-44E3-9099-C40C66FF867C}">
                  <a14:compatExt spid="_x0000_s2265"/>
                </a:ext>
                <a:ext uri="{FF2B5EF4-FFF2-40B4-BE49-F238E27FC236}">
                  <a16:creationId xmlns:a16="http://schemas.microsoft.com/office/drawing/2014/main" id="{00000000-0008-0000-0000-0000D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6" name="Button 218" hidden="1">
              <a:extLst>
                <a:ext uri="{63B3BB69-23CF-44E3-9099-C40C66FF867C}">
                  <a14:compatExt spid="_x0000_s2266"/>
                </a:ext>
                <a:ext uri="{FF2B5EF4-FFF2-40B4-BE49-F238E27FC236}">
                  <a16:creationId xmlns:a16="http://schemas.microsoft.com/office/drawing/2014/main" id="{00000000-0008-0000-0000-0000D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7" name="Button 219" hidden="1">
              <a:extLst>
                <a:ext uri="{63B3BB69-23CF-44E3-9099-C40C66FF867C}">
                  <a14:compatExt spid="_x0000_s2267"/>
                </a:ext>
                <a:ext uri="{FF2B5EF4-FFF2-40B4-BE49-F238E27FC236}">
                  <a16:creationId xmlns:a16="http://schemas.microsoft.com/office/drawing/2014/main" id="{00000000-0008-0000-0000-0000D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8" name="Button 220" hidden="1">
              <a:extLst>
                <a:ext uri="{63B3BB69-23CF-44E3-9099-C40C66FF867C}">
                  <a14:compatExt spid="_x0000_s2268"/>
                </a:ext>
                <a:ext uri="{FF2B5EF4-FFF2-40B4-BE49-F238E27FC236}">
                  <a16:creationId xmlns:a16="http://schemas.microsoft.com/office/drawing/2014/main" id="{00000000-0008-0000-0000-0000D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9" name="Button 221" hidden="1">
              <a:extLst>
                <a:ext uri="{63B3BB69-23CF-44E3-9099-C40C66FF867C}">
                  <a14:compatExt spid="_x0000_s2269"/>
                </a:ext>
                <a:ext uri="{FF2B5EF4-FFF2-40B4-BE49-F238E27FC236}">
                  <a16:creationId xmlns:a16="http://schemas.microsoft.com/office/drawing/2014/main" id="{00000000-0008-0000-0000-0000D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70" name="Button 222" hidden="1">
              <a:extLst>
                <a:ext uri="{63B3BB69-23CF-44E3-9099-C40C66FF867C}">
                  <a14:compatExt spid="_x0000_s2270"/>
                </a:ext>
                <a:ext uri="{FF2B5EF4-FFF2-40B4-BE49-F238E27FC236}">
                  <a16:creationId xmlns:a16="http://schemas.microsoft.com/office/drawing/2014/main" id="{00000000-0008-0000-0000-0000D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71" name="Button 223" hidden="1">
              <a:extLst>
                <a:ext uri="{63B3BB69-23CF-44E3-9099-C40C66FF867C}">
                  <a14:compatExt spid="_x0000_s2271"/>
                </a:ext>
                <a:ext uri="{FF2B5EF4-FFF2-40B4-BE49-F238E27FC236}">
                  <a16:creationId xmlns:a16="http://schemas.microsoft.com/office/drawing/2014/main" id="{00000000-0008-0000-0000-0000D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0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0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0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0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0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0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0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0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0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0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0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0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0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0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0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0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0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0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9525</xdr:rowOff>
        </xdr:from>
        <xdr:to>
          <xdr:col>7</xdr:col>
          <xdr:colOff>9525</xdr:colOff>
          <xdr:row>28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0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9525</xdr:rowOff>
        </xdr:from>
        <xdr:to>
          <xdr:col>7</xdr:col>
          <xdr:colOff>9525</xdr:colOff>
          <xdr:row>29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0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9525</xdr:rowOff>
        </xdr:from>
        <xdr:to>
          <xdr:col>7</xdr:col>
          <xdr:colOff>9525</xdr:colOff>
          <xdr:row>30</xdr:row>
          <xdr:rowOff>190500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9525</xdr:rowOff>
        </xdr:from>
        <xdr:to>
          <xdr:col>7</xdr:col>
          <xdr:colOff>9525</xdr:colOff>
          <xdr:row>31</xdr:row>
          <xdr:rowOff>190500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9525</xdr:rowOff>
        </xdr:from>
        <xdr:to>
          <xdr:col>7</xdr:col>
          <xdr:colOff>9525</xdr:colOff>
          <xdr:row>32</xdr:row>
          <xdr:rowOff>190500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9525</xdr:rowOff>
        </xdr:from>
        <xdr:to>
          <xdr:col>7</xdr:col>
          <xdr:colOff>9525</xdr:colOff>
          <xdr:row>33</xdr:row>
          <xdr:rowOff>190500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9525</xdr:rowOff>
        </xdr:from>
        <xdr:to>
          <xdr:col>7</xdr:col>
          <xdr:colOff>9525</xdr:colOff>
          <xdr:row>34</xdr:row>
          <xdr:rowOff>190500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9525</xdr:rowOff>
        </xdr:from>
        <xdr:to>
          <xdr:col>7</xdr:col>
          <xdr:colOff>9525</xdr:colOff>
          <xdr:row>35</xdr:row>
          <xdr:rowOff>190500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0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000-00001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0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0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00000000-0008-0000-0000-00001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000-00001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000-00001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00000000-0008-0000-0000-00001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00000000-0008-0000-0000-00001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00000000-0008-0000-0000-00001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00000000-0008-0000-0000-00001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00000000-0008-0000-0000-00001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00000000-0008-0000-0000-00001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00000000-0008-0000-0000-00001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00000000-0008-0000-0000-00001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00000000-0008-0000-0000-00002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00000000-0008-0000-0000-00002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00000000-0008-0000-0000-00002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9" name="Button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00000000-0008-0000-0000-00002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0" name="Button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00000000-0008-0000-0000-00002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1" name="Button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00000000-0008-0000-0000-00002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2" name="Button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00000000-0008-0000-0000-00002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3" name="Button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00000000-0008-0000-0000-00002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44" name="Button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00000000-0008-0000-0000-00002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5" name="Button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00000000-0008-0000-0000-00002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6" name="Button 298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00000000-0008-0000-0000-00002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7" name="Button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0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8" name="Button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0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00000000-0008-0000-0000-00002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50" name="Button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0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51" name="Button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0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52" name="Button 30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0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3" name="Button 30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00000000-0008-0000-0000-00003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4" name="Button 306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00000000-0008-0000-0000-00003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5" name="Button 307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00000000-0008-0000-0000-00003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6" name="Button 308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00000000-0008-0000-0000-00003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7" name="Button 309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00000000-0008-0000-0000-00003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8" name="Button 310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00000000-0008-0000-0000-00003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9" name="Button 311" hidden="1">
              <a:extLst>
                <a:ext uri="{63B3BB69-23CF-44E3-9099-C40C66FF867C}">
                  <a14:compatExt spid="_x0000_s2359"/>
                </a:ext>
                <a:ext uri="{FF2B5EF4-FFF2-40B4-BE49-F238E27FC236}">
                  <a16:creationId xmlns:a16="http://schemas.microsoft.com/office/drawing/2014/main" id="{00000000-0008-0000-0000-00003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60" name="Button 312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00000000-0008-0000-0000-00003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1" name="Button 313" hidden="1">
              <a:extLst>
                <a:ext uri="{63B3BB69-23CF-44E3-9099-C40C66FF867C}">
                  <a14:compatExt spid="_x0000_s2361"/>
                </a:ext>
                <a:ext uri="{FF2B5EF4-FFF2-40B4-BE49-F238E27FC236}">
                  <a16:creationId xmlns:a16="http://schemas.microsoft.com/office/drawing/2014/main" id="{00000000-0008-0000-0000-00003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2" name="Button 314" hidden="1">
              <a:extLst>
                <a:ext uri="{63B3BB69-23CF-44E3-9099-C40C66FF867C}">
                  <a14:compatExt spid="_x0000_s2362"/>
                </a:ext>
                <a:ext uri="{FF2B5EF4-FFF2-40B4-BE49-F238E27FC236}">
                  <a16:creationId xmlns:a16="http://schemas.microsoft.com/office/drawing/2014/main" id="{00000000-0008-0000-0000-00003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3" name="Button 315" hidden="1">
              <a:extLst>
                <a:ext uri="{63B3BB69-23CF-44E3-9099-C40C66FF867C}">
                  <a14:compatExt spid="_x0000_s2363"/>
                </a:ext>
                <a:ext uri="{FF2B5EF4-FFF2-40B4-BE49-F238E27FC236}">
                  <a16:creationId xmlns:a16="http://schemas.microsoft.com/office/drawing/2014/main" id="{00000000-0008-0000-0000-00003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4" name="Button 316" hidden="1">
              <a:extLst>
                <a:ext uri="{63B3BB69-23CF-44E3-9099-C40C66FF867C}">
                  <a14:compatExt spid="_x0000_s2364"/>
                </a:ext>
                <a:ext uri="{FF2B5EF4-FFF2-40B4-BE49-F238E27FC236}">
                  <a16:creationId xmlns:a16="http://schemas.microsoft.com/office/drawing/2014/main" id="{00000000-0008-0000-0000-00003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5" name="Button 317" hidden="1">
              <a:extLst>
                <a:ext uri="{63B3BB69-23CF-44E3-9099-C40C66FF867C}">
                  <a14:compatExt spid="_x0000_s2365"/>
                </a:ext>
                <a:ext uri="{FF2B5EF4-FFF2-40B4-BE49-F238E27FC236}">
                  <a16:creationId xmlns:a16="http://schemas.microsoft.com/office/drawing/2014/main" id="{00000000-0008-0000-0000-00003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6" name="Button 318" hidden="1">
              <a:extLst>
                <a:ext uri="{63B3BB69-23CF-44E3-9099-C40C66FF867C}">
                  <a14:compatExt spid="_x0000_s2366"/>
                </a:ext>
                <a:ext uri="{FF2B5EF4-FFF2-40B4-BE49-F238E27FC236}">
                  <a16:creationId xmlns:a16="http://schemas.microsoft.com/office/drawing/2014/main" id="{00000000-0008-0000-0000-00003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7" name="Button 319" hidden="1">
              <a:extLst>
                <a:ext uri="{63B3BB69-23CF-44E3-9099-C40C66FF867C}">
                  <a14:compatExt spid="_x0000_s2367"/>
                </a:ext>
                <a:ext uri="{FF2B5EF4-FFF2-40B4-BE49-F238E27FC236}">
                  <a16:creationId xmlns:a16="http://schemas.microsoft.com/office/drawing/2014/main" id="{00000000-0008-0000-0000-00003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68" name="Button 320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00000000-0008-0000-0000-00004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69" name="Button 321" hidden="1">
              <a:extLst>
                <a:ext uri="{63B3BB69-23CF-44E3-9099-C40C66FF867C}">
                  <a14:compatExt spid="_x0000_s2369"/>
                </a:ext>
                <a:ext uri="{FF2B5EF4-FFF2-40B4-BE49-F238E27FC236}">
                  <a16:creationId xmlns:a16="http://schemas.microsoft.com/office/drawing/2014/main" id="{00000000-0008-0000-0000-00004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0" name="Button 322" hidden="1">
              <a:extLst>
                <a:ext uri="{63B3BB69-23CF-44E3-9099-C40C66FF867C}">
                  <a14:compatExt spid="_x0000_s2370"/>
                </a:ext>
                <a:ext uri="{FF2B5EF4-FFF2-40B4-BE49-F238E27FC236}">
                  <a16:creationId xmlns:a16="http://schemas.microsoft.com/office/drawing/2014/main" id="{00000000-0008-0000-0000-00004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1" name="Button 323" hidden="1">
              <a:extLst>
                <a:ext uri="{63B3BB69-23CF-44E3-9099-C40C66FF867C}">
                  <a14:compatExt spid="_x0000_s2371"/>
                </a:ext>
                <a:ext uri="{FF2B5EF4-FFF2-40B4-BE49-F238E27FC236}">
                  <a16:creationId xmlns:a16="http://schemas.microsoft.com/office/drawing/2014/main" id="{00000000-0008-0000-0000-00004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2" name="Button 324" hidden="1">
              <a:extLst>
                <a:ext uri="{63B3BB69-23CF-44E3-9099-C40C66FF867C}">
                  <a14:compatExt spid="_x0000_s2372"/>
                </a:ext>
                <a:ext uri="{FF2B5EF4-FFF2-40B4-BE49-F238E27FC236}">
                  <a16:creationId xmlns:a16="http://schemas.microsoft.com/office/drawing/2014/main" id="{00000000-0008-0000-0000-00004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3" name="Button 325" hidden="1">
              <a:extLst>
                <a:ext uri="{63B3BB69-23CF-44E3-9099-C40C66FF867C}">
                  <a14:compatExt spid="_x0000_s2373"/>
                </a:ext>
                <a:ext uri="{FF2B5EF4-FFF2-40B4-BE49-F238E27FC236}">
                  <a16:creationId xmlns:a16="http://schemas.microsoft.com/office/drawing/2014/main" id="{00000000-0008-0000-0000-00004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4" name="Button 326" hidden="1">
              <a:extLst>
                <a:ext uri="{63B3BB69-23CF-44E3-9099-C40C66FF867C}">
                  <a14:compatExt spid="_x0000_s2374"/>
                </a:ext>
                <a:ext uri="{FF2B5EF4-FFF2-40B4-BE49-F238E27FC236}">
                  <a16:creationId xmlns:a16="http://schemas.microsoft.com/office/drawing/2014/main" id="{00000000-0008-0000-0000-00004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5" name="Button 327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00000000-0008-0000-0000-00004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6" name="Button 328" hidden="1">
              <a:extLst>
                <a:ext uri="{63B3BB69-23CF-44E3-9099-C40C66FF867C}">
                  <a14:compatExt spid="_x0000_s2376"/>
                </a:ext>
                <a:ext uri="{FF2B5EF4-FFF2-40B4-BE49-F238E27FC236}">
                  <a16:creationId xmlns:a16="http://schemas.microsoft.com/office/drawing/2014/main" id="{00000000-0008-0000-0000-00004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7" name="Button 329" hidden="1">
              <a:extLst>
                <a:ext uri="{63B3BB69-23CF-44E3-9099-C40C66FF867C}">
                  <a14:compatExt spid="_x0000_s2377"/>
                </a:ext>
                <a:ext uri="{FF2B5EF4-FFF2-40B4-BE49-F238E27FC236}">
                  <a16:creationId xmlns:a16="http://schemas.microsoft.com/office/drawing/2014/main" id="{00000000-0008-0000-0000-00004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8" name="Button 330" hidden="1">
              <a:extLst>
                <a:ext uri="{63B3BB69-23CF-44E3-9099-C40C66FF867C}">
                  <a14:compatExt spid="_x0000_s2378"/>
                </a:ext>
                <a:ext uri="{FF2B5EF4-FFF2-40B4-BE49-F238E27FC236}">
                  <a16:creationId xmlns:a16="http://schemas.microsoft.com/office/drawing/2014/main" id="{00000000-0008-0000-0000-00004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9" name="Button 331" hidden="1">
              <a:extLst>
                <a:ext uri="{63B3BB69-23CF-44E3-9099-C40C66FF867C}">
                  <a14:compatExt spid="_x0000_s2379"/>
                </a:ext>
                <a:ext uri="{FF2B5EF4-FFF2-40B4-BE49-F238E27FC236}">
                  <a16:creationId xmlns:a16="http://schemas.microsoft.com/office/drawing/2014/main" id="{00000000-0008-0000-0000-00004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80" name="Button 332" hidden="1">
              <a:extLst>
                <a:ext uri="{63B3BB69-23CF-44E3-9099-C40C66FF867C}">
                  <a14:compatExt spid="_x0000_s2380"/>
                </a:ext>
                <a:ext uri="{FF2B5EF4-FFF2-40B4-BE49-F238E27FC236}">
                  <a16:creationId xmlns:a16="http://schemas.microsoft.com/office/drawing/2014/main" id="{00000000-0008-0000-0000-00004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81" name="Button 333" hidden="1">
              <a:extLst>
                <a:ext uri="{63B3BB69-23CF-44E3-9099-C40C66FF867C}">
                  <a14:compatExt spid="_x0000_s2381"/>
                </a:ext>
                <a:ext uri="{FF2B5EF4-FFF2-40B4-BE49-F238E27FC236}">
                  <a16:creationId xmlns:a16="http://schemas.microsoft.com/office/drawing/2014/main" id="{00000000-0008-0000-0000-00004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82" name="Button 334" hidden="1">
              <a:extLst>
                <a:ext uri="{63B3BB69-23CF-44E3-9099-C40C66FF867C}">
                  <a14:compatExt spid="_x0000_s2382"/>
                </a:ext>
                <a:ext uri="{FF2B5EF4-FFF2-40B4-BE49-F238E27FC236}">
                  <a16:creationId xmlns:a16="http://schemas.microsoft.com/office/drawing/2014/main" id="{00000000-0008-0000-0000-00004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3" name="Button 335" hidden="1">
              <a:extLst>
                <a:ext uri="{63B3BB69-23CF-44E3-9099-C40C66FF867C}">
                  <a14:compatExt spid="_x0000_s2383"/>
                </a:ext>
                <a:ext uri="{FF2B5EF4-FFF2-40B4-BE49-F238E27FC236}">
                  <a16:creationId xmlns:a16="http://schemas.microsoft.com/office/drawing/2014/main" id="{00000000-0008-0000-0000-00004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4" name="Button 336" hidden="1">
              <a:extLst>
                <a:ext uri="{63B3BB69-23CF-44E3-9099-C40C66FF867C}">
                  <a14:compatExt spid="_x0000_s2384"/>
                </a:ext>
                <a:ext uri="{FF2B5EF4-FFF2-40B4-BE49-F238E27FC236}">
                  <a16:creationId xmlns:a16="http://schemas.microsoft.com/office/drawing/2014/main" id="{00000000-0008-0000-0000-00005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5" name="Button 337" hidden="1">
              <a:extLst>
                <a:ext uri="{63B3BB69-23CF-44E3-9099-C40C66FF867C}">
                  <a14:compatExt spid="_x0000_s2385"/>
                </a:ext>
                <a:ext uri="{FF2B5EF4-FFF2-40B4-BE49-F238E27FC236}">
                  <a16:creationId xmlns:a16="http://schemas.microsoft.com/office/drawing/2014/main" id="{00000000-0008-0000-0000-00005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6" name="Button 338" hidden="1">
              <a:extLst>
                <a:ext uri="{63B3BB69-23CF-44E3-9099-C40C66FF867C}">
                  <a14:compatExt spid="_x0000_s2386"/>
                </a:ext>
                <a:ext uri="{FF2B5EF4-FFF2-40B4-BE49-F238E27FC236}">
                  <a16:creationId xmlns:a16="http://schemas.microsoft.com/office/drawing/2014/main" id="{00000000-0008-0000-0000-00005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7" name="Button 339" hidden="1">
              <a:extLst>
                <a:ext uri="{63B3BB69-23CF-44E3-9099-C40C66FF867C}">
                  <a14:compatExt spid="_x0000_s2387"/>
                </a:ext>
                <a:ext uri="{FF2B5EF4-FFF2-40B4-BE49-F238E27FC236}">
                  <a16:creationId xmlns:a16="http://schemas.microsoft.com/office/drawing/2014/main" id="{00000000-0008-0000-0000-00005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8" name="Button 340" hidden="1">
              <a:extLst>
                <a:ext uri="{63B3BB69-23CF-44E3-9099-C40C66FF867C}">
                  <a14:compatExt spid="_x0000_s2388"/>
                </a:ext>
                <a:ext uri="{FF2B5EF4-FFF2-40B4-BE49-F238E27FC236}">
                  <a16:creationId xmlns:a16="http://schemas.microsoft.com/office/drawing/2014/main" id="{00000000-0008-0000-0000-00005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9" name="Button 341" hidden="1">
              <a:extLst>
                <a:ext uri="{63B3BB69-23CF-44E3-9099-C40C66FF867C}">
                  <a14:compatExt spid="_x0000_s2389"/>
                </a:ext>
                <a:ext uri="{FF2B5EF4-FFF2-40B4-BE49-F238E27FC236}">
                  <a16:creationId xmlns:a16="http://schemas.microsoft.com/office/drawing/2014/main" id="{00000000-0008-0000-0000-00005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90" name="Button 342" hidden="1">
              <a:extLst>
                <a:ext uri="{63B3BB69-23CF-44E3-9099-C40C66FF867C}">
                  <a14:compatExt spid="_x0000_s2390"/>
                </a:ext>
                <a:ext uri="{FF2B5EF4-FFF2-40B4-BE49-F238E27FC236}">
                  <a16:creationId xmlns:a16="http://schemas.microsoft.com/office/drawing/2014/main" id="{00000000-0008-0000-0000-00005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1" name="Button 343" hidden="1">
              <a:extLst>
                <a:ext uri="{63B3BB69-23CF-44E3-9099-C40C66FF867C}">
                  <a14:compatExt spid="_x0000_s2391"/>
                </a:ext>
                <a:ext uri="{FF2B5EF4-FFF2-40B4-BE49-F238E27FC236}">
                  <a16:creationId xmlns:a16="http://schemas.microsoft.com/office/drawing/2014/main" id="{00000000-0008-0000-0000-00005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2" name="Button 344" hidden="1">
              <a:extLst>
                <a:ext uri="{63B3BB69-23CF-44E3-9099-C40C66FF867C}">
                  <a14:compatExt spid="_x0000_s2392"/>
                </a:ext>
                <a:ext uri="{FF2B5EF4-FFF2-40B4-BE49-F238E27FC236}">
                  <a16:creationId xmlns:a16="http://schemas.microsoft.com/office/drawing/2014/main" id="{00000000-0008-0000-0000-00005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3" name="Button 345" hidden="1">
              <a:extLst>
                <a:ext uri="{63B3BB69-23CF-44E3-9099-C40C66FF867C}">
                  <a14:compatExt spid="_x0000_s2393"/>
                </a:ext>
                <a:ext uri="{FF2B5EF4-FFF2-40B4-BE49-F238E27FC236}">
                  <a16:creationId xmlns:a16="http://schemas.microsoft.com/office/drawing/2014/main" id="{00000000-0008-0000-0000-00005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4" name="Button 346" hidden="1">
              <a:extLst>
                <a:ext uri="{63B3BB69-23CF-44E3-9099-C40C66FF867C}">
                  <a14:compatExt spid="_x0000_s2394"/>
                </a:ext>
                <a:ext uri="{FF2B5EF4-FFF2-40B4-BE49-F238E27FC236}">
                  <a16:creationId xmlns:a16="http://schemas.microsoft.com/office/drawing/2014/main" id="{00000000-0008-0000-0000-00005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5" name="Button 347" hidden="1">
              <a:extLst>
                <a:ext uri="{63B3BB69-23CF-44E3-9099-C40C66FF867C}">
                  <a14:compatExt spid="_x0000_s2395"/>
                </a:ext>
                <a:ext uri="{FF2B5EF4-FFF2-40B4-BE49-F238E27FC236}">
                  <a16:creationId xmlns:a16="http://schemas.microsoft.com/office/drawing/2014/main" id="{00000000-0008-0000-0000-00005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6" name="Button 348" hidden="1">
              <a:extLst>
                <a:ext uri="{63B3BB69-23CF-44E3-9099-C40C66FF867C}">
                  <a14:compatExt spid="_x0000_s2396"/>
                </a:ext>
                <a:ext uri="{FF2B5EF4-FFF2-40B4-BE49-F238E27FC236}">
                  <a16:creationId xmlns:a16="http://schemas.microsoft.com/office/drawing/2014/main" id="{00000000-0008-0000-0000-00005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7" name="Button 349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00000000-0008-0000-0000-00005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98" name="Button 350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00000000-0008-0000-0000-00005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99" name="Button 351" hidden="1">
              <a:extLst>
                <a:ext uri="{63B3BB69-23CF-44E3-9099-C40C66FF867C}">
                  <a14:compatExt spid="_x0000_s2399"/>
                </a:ext>
                <a:ext uri="{FF2B5EF4-FFF2-40B4-BE49-F238E27FC236}">
                  <a16:creationId xmlns:a16="http://schemas.microsoft.com/office/drawing/2014/main" id="{00000000-0008-0000-0000-00005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0" name="Button 352" hidden="1">
              <a:extLst>
                <a:ext uri="{63B3BB69-23CF-44E3-9099-C40C66FF867C}">
                  <a14:compatExt spid="_x0000_s2400"/>
                </a:ext>
                <a:ext uri="{FF2B5EF4-FFF2-40B4-BE49-F238E27FC236}">
                  <a16:creationId xmlns:a16="http://schemas.microsoft.com/office/drawing/2014/main" id="{00000000-0008-0000-0000-00006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1" name="Button 353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00000000-0008-0000-00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2" name="Button 354" hidden="1">
              <a:extLst>
                <a:ext uri="{63B3BB69-23CF-44E3-9099-C40C66FF867C}">
                  <a14:compatExt spid="_x0000_s2402"/>
                </a:ext>
                <a:ext uri="{FF2B5EF4-FFF2-40B4-BE49-F238E27FC236}">
                  <a16:creationId xmlns:a16="http://schemas.microsoft.com/office/drawing/2014/main" id="{00000000-0008-0000-0000-00006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3" name="Button 355" hidden="1">
              <a:extLst>
                <a:ext uri="{63B3BB69-23CF-44E3-9099-C40C66FF867C}">
                  <a14:compatExt spid="_x0000_s2403"/>
                </a:ext>
                <a:ext uri="{FF2B5EF4-FFF2-40B4-BE49-F238E27FC236}">
                  <a16:creationId xmlns:a16="http://schemas.microsoft.com/office/drawing/2014/main" id="{00000000-0008-0000-0000-00006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4" name="Button 356" hidden="1">
              <a:extLst>
                <a:ext uri="{63B3BB69-23CF-44E3-9099-C40C66FF867C}">
                  <a14:compatExt spid="_x0000_s2404"/>
                </a:ext>
                <a:ext uri="{FF2B5EF4-FFF2-40B4-BE49-F238E27FC236}">
                  <a16:creationId xmlns:a16="http://schemas.microsoft.com/office/drawing/2014/main" id="{00000000-0008-0000-0000-00006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5" name="Button 357" hidden="1">
              <a:extLst>
                <a:ext uri="{63B3BB69-23CF-44E3-9099-C40C66FF867C}">
                  <a14:compatExt spid="_x0000_s2405"/>
                </a:ext>
                <a:ext uri="{FF2B5EF4-FFF2-40B4-BE49-F238E27FC236}">
                  <a16:creationId xmlns:a16="http://schemas.microsoft.com/office/drawing/2014/main" id="{00000000-0008-0000-0000-00006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6" name="Button 358" hidden="1">
              <a:extLst>
                <a:ext uri="{63B3BB69-23CF-44E3-9099-C40C66FF867C}">
                  <a14:compatExt spid="_x0000_s2406"/>
                </a:ext>
                <a:ext uri="{FF2B5EF4-FFF2-40B4-BE49-F238E27FC236}">
                  <a16:creationId xmlns:a16="http://schemas.microsoft.com/office/drawing/2014/main" id="{00000000-0008-0000-0000-00006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7" name="Button 359" hidden="1">
              <a:extLst>
                <a:ext uri="{63B3BB69-23CF-44E3-9099-C40C66FF867C}">
                  <a14:compatExt spid="_x0000_s2407"/>
                </a:ext>
                <a:ext uri="{FF2B5EF4-FFF2-40B4-BE49-F238E27FC236}">
                  <a16:creationId xmlns:a16="http://schemas.microsoft.com/office/drawing/2014/main" id="{00000000-0008-0000-0000-00006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08" name="Button 360" hidden="1">
              <a:extLst>
                <a:ext uri="{63B3BB69-23CF-44E3-9099-C40C66FF867C}">
                  <a14:compatExt spid="_x0000_s2408"/>
                </a:ext>
                <a:ext uri="{FF2B5EF4-FFF2-40B4-BE49-F238E27FC236}">
                  <a16:creationId xmlns:a16="http://schemas.microsoft.com/office/drawing/2014/main" id="{00000000-0008-0000-0000-00006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09" name="Button 361" hidden="1">
              <a:extLst>
                <a:ext uri="{63B3BB69-23CF-44E3-9099-C40C66FF867C}">
                  <a14:compatExt spid="_x0000_s2409"/>
                </a:ext>
                <a:ext uri="{FF2B5EF4-FFF2-40B4-BE49-F238E27FC236}">
                  <a16:creationId xmlns:a16="http://schemas.microsoft.com/office/drawing/2014/main" id="{00000000-0008-0000-0000-00006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0" name="Button 362" hidden="1">
              <a:extLst>
                <a:ext uri="{63B3BB69-23CF-44E3-9099-C40C66FF867C}">
                  <a14:compatExt spid="_x0000_s2410"/>
                </a:ext>
                <a:ext uri="{FF2B5EF4-FFF2-40B4-BE49-F238E27FC236}">
                  <a16:creationId xmlns:a16="http://schemas.microsoft.com/office/drawing/2014/main" id="{00000000-0008-0000-0000-00006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1" name="Button 363" hidden="1">
              <a:extLst>
                <a:ext uri="{63B3BB69-23CF-44E3-9099-C40C66FF867C}">
                  <a14:compatExt spid="_x0000_s2411"/>
                </a:ext>
                <a:ext uri="{FF2B5EF4-FFF2-40B4-BE49-F238E27FC236}">
                  <a16:creationId xmlns:a16="http://schemas.microsoft.com/office/drawing/2014/main" id="{00000000-0008-0000-0000-00006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2" name="Button 364" hidden="1">
              <a:extLst>
                <a:ext uri="{63B3BB69-23CF-44E3-9099-C40C66FF867C}">
                  <a14:compatExt spid="_x0000_s2412"/>
                </a:ext>
                <a:ext uri="{FF2B5EF4-FFF2-40B4-BE49-F238E27FC236}">
                  <a16:creationId xmlns:a16="http://schemas.microsoft.com/office/drawing/2014/main" id="{00000000-0008-0000-0000-00006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3" name="Button 365" hidden="1">
              <a:extLst>
                <a:ext uri="{63B3BB69-23CF-44E3-9099-C40C66FF867C}">
                  <a14:compatExt spid="_x0000_s2413"/>
                </a:ext>
                <a:ext uri="{FF2B5EF4-FFF2-40B4-BE49-F238E27FC236}">
                  <a16:creationId xmlns:a16="http://schemas.microsoft.com/office/drawing/2014/main" id="{00000000-0008-0000-0000-00006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4" name="Button 366" hidden="1">
              <a:extLst>
                <a:ext uri="{63B3BB69-23CF-44E3-9099-C40C66FF867C}">
                  <a14:compatExt spid="_x0000_s2414"/>
                </a:ext>
                <a:ext uri="{FF2B5EF4-FFF2-40B4-BE49-F238E27FC236}">
                  <a16:creationId xmlns:a16="http://schemas.microsoft.com/office/drawing/2014/main" id="{00000000-0008-0000-0000-00006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5" name="Button 367" hidden="1">
              <a:extLst>
                <a:ext uri="{63B3BB69-23CF-44E3-9099-C40C66FF867C}">
                  <a14:compatExt spid="_x0000_s2415"/>
                </a:ext>
                <a:ext uri="{FF2B5EF4-FFF2-40B4-BE49-F238E27FC236}">
                  <a16:creationId xmlns:a16="http://schemas.microsoft.com/office/drawing/2014/main" id="{00000000-0008-0000-0000-00006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6" name="Button 368" hidden="1">
              <a:extLst>
                <a:ext uri="{63B3BB69-23CF-44E3-9099-C40C66FF867C}">
                  <a14:compatExt spid="_x0000_s2416"/>
                </a:ext>
                <a:ext uri="{FF2B5EF4-FFF2-40B4-BE49-F238E27FC236}">
                  <a16:creationId xmlns:a16="http://schemas.microsoft.com/office/drawing/2014/main" id="{00000000-0008-0000-0000-00007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17" name="Button 369" hidden="1">
              <a:extLst>
                <a:ext uri="{63B3BB69-23CF-44E3-9099-C40C66FF867C}">
                  <a14:compatExt spid="_x0000_s2417"/>
                </a:ext>
                <a:ext uri="{FF2B5EF4-FFF2-40B4-BE49-F238E27FC236}">
                  <a16:creationId xmlns:a16="http://schemas.microsoft.com/office/drawing/2014/main" id="{00000000-0008-0000-0000-00007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18" name="Button 370" hidden="1">
              <a:extLst>
                <a:ext uri="{63B3BB69-23CF-44E3-9099-C40C66FF867C}">
                  <a14:compatExt spid="_x0000_s2418"/>
                </a:ext>
                <a:ext uri="{FF2B5EF4-FFF2-40B4-BE49-F238E27FC236}">
                  <a16:creationId xmlns:a16="http://schemas.microsoft.com/office/drawing/2014/main" id="{00000000-0008-0000-0000-00007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19" name="Button 371" hidden="1">
              <a:extLst>
                <a:ext uri="{63B3BB69-23CF-44E3-9099-C40C66FF867C}">
                  <a14:compatExt spid="_x0000_s2419"/>
                </a:ext>
                <a:ext uri="{FF2B5EF4-FFF2-40B4-BE49-F238E27FC236}">
                  <a16:creationId xmlns:a16="http://schemas.microsoft.com/office/drawing/2014/main" id="{00000000-0008-0000-0000-00007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0" name="Button 372" hidden="1">
              <a:extLst>
                <a:ext uri="{63B3BB69-23CF-44E3-9099-C40C66FF867C}">
                  <a14:compatExt spid="_x0000_s2420"/>
                </a:ext>
                <a:ext uri="{FF2B5EF4-FFF2-40B4-BE49-F238E27FC236}">
                  <a16:creationId xmlns:a16="http://schemas.microsoft.com/office/drawing/2014/main" id="{00000000-0008-0000-0000-00007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1" name="Button 373" hidden="1">
              <a:extLst>
                <a:ext uri="{63B3BB69-23CF-44E3-9099-C40C66FF867C}">
                  <a14:compatExt spid="_x0000_s2421"/>
                </a:ext>
                <a:ext uri="{FF2B5EF4-FFF2-40B4-BE49-F238E27FC236}">
                  <a16:creationId xmlns:a16="http://schemas.microsoft.com/office/drawing/2014/main" id="{00000000-0008-0000-0000-00007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2" name="Button 374" hidden="1">
              <a:extLst>
                <a:ext uri="{63B3BB69-23CF-44E3-9099-C40C66FF867C}">
                  <a14:compatExt spid="_x0000_s2422"/>
                </a:ext>
                <a:ext uri="{FF2B5EF4-FFF2-40B4-BE49-F238E27FC236}">
                  <a16:creationId xmlns:a16="http://schemas.microsoft.com/office/drawing/2014/main" id="{00000000-0008-0000-0000-00007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3" name="Button 375" hidden="1">
              <a:extLst>
                <a:ext uri="{63B3BB69-23CF-44E3-9099-C40C66FF867C}">
                  <a14:compatExt spid="_x0000_s2423"/>
                </a:ext>
                <a:ext uri="{FF2B5EF4-FFF2-40B4-BE49-F238E27FC236}">
                  <a16:creationId xmlns:a16="http://schemas.microsoft.com/office/drawing/2014/main" id="{00000000-0008-0000-0000-00007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4" name="Button 376" hidden="1">
              <a:extLst>
                <a:ext uri="{63B3BB69-23CF-44E3-9099-C40C66FF867C}">
                  <a14:compatExt spid="_x0000_s2424"/>
                </a:ext>
                <a:ext uri="{FF2B5EF4-FFF2-40B4-BE49-F238E27FC236}">
                  <a16:creationId xmlns:a16="http://schemas.microsoft.com/office/drawing/2014/main" id="{00000000-0008-0000-0000-00007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25" name="Button 377" hidden="1">
              <a:extLst>
                <a:ext uri="{63B3BB69-23CF-44E3-9099-C40C66FF867C}">
                  <a14:compatExt spid="_x0000_s2425"/>
                </a:ext>
                <a:ext uri="{FF2B5EF4-FFF2-40B4-BE49-F238E27FC236}">
                  <a16:creationId xmlns:a16="http://schemas.microsoft.com/office/drawing/2014/main" id="{00000000-0008-0000-0000-00007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26" name="Button 378" hidden="1">
              <a:extLst>
                <a:ext uri="{63B3BB69-23CF-44E3-9099-C40C66FF867C}">
                  <a14:compatExt spid="_x0000_s2426"/>
                </a:ext>
                <a:ext uri="{FF2B5EF4-FFF2-40B4-BE49-F238E27FC236}">
                  <a16:creationId xmlns:a16="http://schemas.microsoft.com/office/drawing/2014/main" id="{00000000-0008-0000-0000-00007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27" name="Button 379" hidden="1">
              <a:extLst>
                <a:ext uri="{63B3BB69-23CF-44E3-9099-C40C66FF867C}">
                  <a14:compatExt spid="_x0000_s2427"/>
                </a:ext>
                <a:ext uri="{FF2B5EF4-FFF2-40B4-BE49-F238E27FC236}">
                  <a16:creationId xmlns:a16="http://schemas.microsoft.com/office/drawing/2014/main" id="{00000000-0008-0000-0000-00007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28" name="Button 380" hidden="1">
              <a:extLst>
                <a:ext uri="{63B3BB69-23CF-44E3-9099-C40C66FF867C}">
                  <a14:compatExt spid="_x0000_s2428"/>
                </a:ext>
                <a:ext uri="{FF2B5EF4-FFF2-40B4-BE49-F238E27FC236}">
                  <a16:creationId xmlns:a16="http://schemas.microsoft.com/office/drawing/2014/main" id="{00000000-0008-0000-0000-00007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29" name="Button 381" hidden="1">
              <a:extLst>
                <a:ext uri="{63B3BB69-23CF-44E3-9099-C40C66FF867C}">
                  <a14:compatExt spid="_x0000_s2429"/>
                </a:ext>
                <a:ext uri="{FF2B5EF4-FFF2-40B4-BE49-F238E27FC236}">
                  <a16:creationId xmlns:a16="http://schemas.microsoft.com/office/drawing/2014/main" id="{00000000-0008-0000-0000-00007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30" name="Button 382" hidden="1">
              <a:extLst>
                <a:ext uri="{63B3BB69-23CF-44E3-9099-C40C66FF867C}">
                  <a14:compatExt spid="_x0000_s2430"/>
                </a:ext>
                <a:ext uri="{FF2B5EF4-FFF2-40B4-BE49-F238E27FC236}">
                  <a16:creationId xmlns:a16="http://schemas.microsoft.com/office/drawing/2014/main" id="{00000000-0008-0000-0000-00007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31" name="Button 383" hidden="1">
              <a:extLst>
                <a:ext uri="{63B3BB69-23CF-44E3-9099-C40C66FF867C}">
                  <a14:compatExt spid="_x0000_s2431"/>
                </a:ext>
                <a:ext uri="{FF2B5EF4-FFF2-40B4-BE49-F238E27FC236}">
                  <a16:creationId xmlns:a16="http://schemas.microsoft.com/office/drawing/2014/main" id="{00000000-0008-0000-0000-00007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32" name="Button 384" hidden="1">
              <a:extLst>
                <a:ext uri="{63B3BB69-23CF-44E3-9099-C40C66FF867C}">
                  <a14:compatExt spid="_x0000_s2432"/>
                </a:ext>
                <a:ext uri="{FF2B5EF4-FFF2-40B4-BE49-F238E27FC236}">
                  <a16:creationId xmlns:a16="http://schemas.microsoft.com/office/drawing/2014/main" id="{00000000-0008-0000-0000-00008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33" name="Button 385" hidden="1">
              <a:extLst>
                <a:ext uri="{63B3BB69-23CF-44E3-9099-C40C66FF867C}">
                  <a14:compatExt spid="_x0000_s2433"/>
                </a:ext>
                <a:ext uri="{FF2B5EF4-FFF2-40B4-BE49-F238E27FC236}">
                  <a16:creationId xmlns:a16="http://schemas.microsoft.com/office/drawing/2014/main" id="{00000000-0008-0000-0000-00008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34" name="Button 386" hidden="1">
              <a:extLst>
                <a:ext uri="{63B3BB69-23CF-44E3-9099-C40C66FF867C}">
                  <a14:compatExt spid="_x0000_s2434"/>
                </a:ext>
                <a:ext uri="{FF2B5EF4-FFF2-40B4-BE49-F238E27FC236}">
                  <a16:creationId xmlns:a16="http://schemas.microsoft.com/office/drawing/2014/main" id="{00000000-0008-0000-0000-00008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35" name="Button 387" hidden="1">
              <a:extLst>
                <a:ext uri="{63B3BB69-23CF-44E3-9099-C40C66FF867C}">
                  <a14:compatExt spid="_x0000_s2435"/>
                </a:ext>
                <a:ext uri="{FF2B5EF4-FFF2-40B4-BE49-F238E27FC236}">
                  <a16:creationId xmlns:a16="http://schemas.microsoft.com/office/drawing/2014/main" id="{00000000-0008-0000-0000-00008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36" name="Button 388" hidden="1">
              <a:extLst>
                <a:ext uri="{63B3BB69-23CF-44E3-9099-C40C66FF867C}">
                  <a14:compatExt spid="_x0000_s2436"/>
                </a:ext>
                <a:ext uri="{FF2B5EF4-FFF2-40B4-BE49-F238E27FC236}">
                  <a16:creationId xmlns:a16="http://schemas.microsoft.com/office/drawing/2014/main" id="{00000000-0008-0000-0000-00008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437" name="Button 389" hidden="1">
              <a:extLst>
                <a:ext uri="{63B3BB69-23CF-44E3-9099-C40C66FF867C}">
                  <a14:compatExt spid="_x0000_s2437"/>
                </a:ext>
                <a:ext uri="{FF2B5EF4-FFF2-40B4-BE49-F238E27FC236}">
                  <a16:creationId xmlns:a16="http://schemas.microsoft.com/office/drawing/2014/main" id="{00000000-0008-0000-0000-00008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38" name="Button 390" hidden="1">
              <a:extLst>
                <a:ext uri="{63B3BB69-23CF-44E3-9099-C40C66FF867C}">
                  <a14:compatExt spid="_x0000_s2438"/>
                </a:ext>
                <a:ext uri="{FF2B5EF4-FFF2-40B4-BE49-F238E27FC236}">
                  <a16:creationId xmlns:a16="http://schemas.microsoft.com/office/drawing/2014/main" id="{00000000-0008-0000-0000-00008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39" name="Button 391" hidden="1">
              <a:extLst>
                <a:ext uri="{63B3BB69-23CF-44E3-9099-C40C66FF867C}">
                  <a14:compatExt spid="_x0000_s2439"/>
                </a:ext>
                <a:ext uri="{FF2B5EF4-FFF2-40B4-BE49-F238E27FC236}">
                  <a16:creationId xmlns:a16="http://schemas.microsoft.com/office/drawing/2014/main" id="{00000000-0008-0000-0000-00008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40" name="Button 392" hidden="1">
              <a:extLst>
                <a:ext uri="{63B3BB69-23CF-44E3-9099-C40C66FF867C}">
                  <a14:compatExt spid="_x0000_s2440"/>
                </a:ext>
                <a:ext uri="{FF2B5EF4-FFF2-40B4-BE49-F238E27FC236}">
                  <a16:creationId xmlns:a16="http://schemas.microsoft.com/office/drawing/2014/main" id="{00000000-0008-0000-0000-00008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41" name="Button 393" hidden="1">
              <a:extLst>
                <a:ext uri="{63B3BB69-23CF-44E3-9099-C40C66FF867C}">
                  <a14:compatExt spid="_x0000_s2441"/>
                </a:ext>
                <a:ext uri="{FF2B5EF4-FFF2-40B4-BE49-F238E27FC236}">
                  <a16:creationId xmlns:a16="http://schemas.microsoft.com/office/drawing/2014/main" id="{00000000-0008-0000-0000-00008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42" name="Button 394" hidden="1">
              <a:extLst>
                <a:ext uri="{63B3BB69-23CF-44E3-9099-C40C66FF867C}">
                  <a14:compatExt spid="_x0000_s2442"/>
                </a:ext>
                <a:ext uri="{FF2B5EF4-FFF2-40B4-BE49-F238E27FC236}">
                  <a16:creationId xmlns:a16="http://schemas.microsoft.com/office/drawing/2014/main" id="{00000000-0008-0000-0000-00008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43" name="Button 395" hidden="1">
              <a:extLst>
                <a:ext uri="{63B3BB69-23CF-44E3-9099-C40C66FF867C}">
                  <a14:compatExt spid="_x0000_s2443"/>
                </a:ext>
                <a:ext uri="{FF2B5EF4-FFF2-40B4-BE49-F238E27FC236}">
                  <a16:creationId xmlns:a16="http://schemas.microsoft.com/office/drawing/2014/main" id="{00000000-0008-0000-0000-00008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44" name="Button 396" hidden="1">
              <a:extLst>
                <a:ext uri="{63B3BB69-23CF-44E3-9099-C40C66FF867C}">
                  <a14:compatExt spid="_x0000_s2444"/>
                </a:ext>
                <a:ext uri="{FF2B5EF4-FFF2-40B4-BE49-F238E27FC236}">
                  <a16:creationId xmlns:a16="http://schemas.microsoft.com/office/drawing/2014/main" id="{00000000-0008-0000-0000-00008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45" name="Button 397" hidden="1">
              <a:extLst>
                <a:ext uri="{63B3BB69-23CF-44E3-9099-C40C66FF867C}">
                  <a14:compatExt spid="_x0000_s2445"/>
                </a:ext>
                <a:ext uri="{FF2B5EF4-FFF2-40B4-BE49-F238E27FC236}">
                  <a16:creationId xmlns:a16="http://schemas.microsoft.com/office/drawing/2014/main" id="{00000000-0008-0000-0000-00008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46" name="Button 398" hidden="1">
              <a:extLst>
                <a:ext uri="{63B3BB69-23CF-44E3-9099-C40C66FF867C}">
                  <a14:compatExt spid="_x0000_s2446"/>
                </a:ext>
                <a:ext uri="{FF2B5EF4-FFF2-40B4-BE49-F238E27FC236}">
                  <a16:creationId xmlns:a16="http://schemas.microsoft.com/office/drawing/2014/main" id="{00000000-0008-0000-0000-00008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47" name="Button 399" hidden="1">
              <a:extLst>
                <a:ext uri="{63B3BB69-23CF-44E3-9099-C40C66FF867C}">
                  <a14:compatExt spid="_x0000_s2447"/>
                </a:ext>
                <a:ext uri="{FF2B5EF4-FFF2-40B4-BE49-F238E27FC236}">
                  <a16:creationId xmlns:a16="http://schemas.microsoft.com/office/drawing/2014/main" id="{00000000-0008-0000-0000-00008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48" name="Button 400" hidden="1">
              <a:extLst>
                <a:ext uri="{63B3BB69-23CF-44E3-9099-C40C66FF867C}">
                  <a14:compatExt spid="_x0000_s2448"/>
                </a:ext>
                <a:ext uri="{FF2B5EF4-FFF2-40B4-BE49-F238E27FC236}">
                  <a16:creationId xmlns:a16="http://schemas.microsoft.com/office/drawing/2014/main" id="{00000000-0008-0000-0000-00009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449" name="Button 401" hidden="1">
              <a:extLst>
                <a:ext uri="{63B3BB69-23CF-44E3-9099-C40C66FF867C}">
                  <a14:compatExt spid="_x0000_s2449"/>
                </a:ext>
                <a:ext uri="{FF2B5EF4-FFF2-40B4-BE49-F238E27FC236}">
                  <a16:creationId xmlns:a16="http://schemas.microsoft.com/office/drawing/2014/main" id="{00000000-0008-0000-0000-00009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0" name="Button 402" hidden="1">
              <a:extLst>
                <a:ext uri="{63B3BB69-23CF-44E3-9099-C40C66FF867C}">
                  <a14:compatExt spid="_x0000_s2450"/>
                </a:ext>
                <a:ext uri="{FF2B5EF4-FFF2-40B4-BE49-F238E27FC236}">
                  <a16:creationId xmlns:a16="http://schemas.microsoft.com/office/drawing/2014/main" id="{00000000-0008-0000-0000-00009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1" name="Button 403" hidden="1">
              <a:extLst>
                <a:ext uri="{63B3BB69-23CF-44E3-9099-C40C66FF867C}">
                  <a14:compatExt spid="_x0000_s2451"/>
                </a:ext>
                <a:ext uri="{FF2B5EF4-FFF2-40B4-BE49-F238E27FC236}">
                  <a16:creationId xmlns:a16="http://schemas.microsoft.com/office/drawing/2014/main" id="{00000000-0008-0000-0000-00009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2" name="Button 404" hidden="1">
              <a:extLst>
                <a:ext uri="{63B3BB69-23CF-44E3-9099-C40C66FF867C}">
                  <a14:compatExt spid="_x0000_s2452"/>
                </a:ext>
                <a:ext uri="{FF2B5EF4-FFF2-40B4-BE49-F238E27FC236}">
                  <a16:creationId xmlns:a16="http://schemas.microsoft.com/office/drawing/2014/main" id="{00000000-0008-0000-0000-00009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3" name="Button 405" hidden="1">
              <a:extLst>
                <a:ext uri="{63B3BB69-23CF-44E3-9099-C40C66FF867C}">
                  <a14:compatExt spid="_x0000_s2453"/>
                </a:ext>
                <a:ext uri="{FF2B5EF4-FFF2-40B4-BE49-F238E27FC236}">
                  <a16:creationId xmlns:a16="http://schemas.microsoft.com/office/drawing/2014/main" id="{00000000-0008-0000-0000-00009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54" name="Button 406" hidden="1">
              <a:extLst>
                <a:ext uri="{63B3BB69-23CF-44E3-9099-C40C66FF867C}">
                  <a14:compatExt spid="_x0000_s2454"/>
                </a:ext>
                <a:ext uri="{FF2B5EF4-FFF2-40B4-BE49-F238E27FC236}">
                  <a16:creationId xmlns:a16="http://schemas.microsoft.com/office/drawing/2014/main" id="{00000000-0008-0000-0000-00009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5" name="Button 407" hidden="1">
              <a:extLst>
                <a:ext uri="{63B3BB69-23CF-44E3-9099-C40C66FF867C}">
                  <a14:compatExt spid="_x0000_s2455"/>
                </a:ext>
                <a:ext uri="{FF2B5EF4-FFF2-40B4-BE49-F238E27FC236}">
                  <a16:creationId xmlns:a16="http://schemas.microsoft.com/office/drawing/2014/main" id="{00000000-0008-0000-0000-00009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6" name="Button 408" hidden="1">
              <a:extLst>
                <a:ext uri="{63B3BB69-23CF-44E3-9099-C40C66FF867C}">
                  <a14:compatExt spid="_x0000_s2456"/>
                </a:ext>
                <a:ext uri="{FF2B5EF4-FFF2-40B4-BE49-F238E27FC236}">
                  <a16:creationId xmlns:a16="http://schemas.microsoft.com/office/drawing/2014/main" id="{00000000-0008-0000-0000-00009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7" name="Button 409" hidden="1">
              <a:extLst>
                <a:ext uri="{63B3BB69-23CF-44E3-9099-C40C66FF867C}">
                  <a14:compatExt spid="_x0000_s2457"/>
                </a:ext>
                <a:ext uri="{FF2B5EF4-FFF2-40B4-BE49-F238E27FC236}">
                  <a16:creationId xmlns:a16="http://schemas.microsoft.com/office/drawing/2014/main" id="{00000000-0008-0000-0000-00009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8" name="Button 410" hidden="1">
              <a:extLst>
                <a:ext uri="{63B3BB69-23CF-44E3-9099-C40C66FF867C}">
                  <a14:compatExt spid="_x0000_s2458"/>
                </a:ext>
                <a:ext uri="{FF2B5EF4-FFF2-40B4-BE49-F238E27FC236}">
                  <a16:creationId xmlns:a16="http://schemas.microsoft.com/office/drawing/2014/main" id="{00000000-0008-0000-0000-00009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9" name="Button 411" hidden="1">
              <a:extLst>
                <a:ext uri="{63B3BB69-23CF-44E3-9099-C40C66FF867C}">
                  <a14:compatExt spid="_x0000_s2459"/>
                </a:ext>
                <a:ext uri="{FF2B5EF4-FFF2-40B4-BE49-F238E27FC236}">
                  <a16:creationId xmlns:a16="http://schemas.microsoft.com/office/drawing/2014/main" id="{00000000-0008-0000-0000-00009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0" name="Button 412" hidden="1">
              <a:extLst>
                <a:ext uri="{63B3BB69-23CF-44E3-9099-C40C66FF867C}">
                  <a14:compatExt spid="_x0000_s2460"/>
                </a:ext>
                <a:ext uri="{FF2B5EF4-FFF2-40B4-BE49-F238E27FC236}">
                  <a16:creationId xmlns:a16="http://schemas.microsoft.com/office/drawing/2014/main" id="{00000000-0008-0000-0000-00009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1" name="Button 413" hidden="1">
              <a:extLst>
                <a:ext uri="{63B3BB69-23CF-44E3-9099-C40C66FF867C}">
                  <a14:compatExt spid="_x0000_s2461"/>
                </a:ext>
                <a:ext uri="{FF2B5EF4-FFF2-40B4-BE49-F238E27FC236}">
                  <a16:creationId xmlns:a16="http://schemas.microsoft.com/office/drawing/2014/main" id="{00000000-0008-0000-0000-00009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62" name="Button 414" hidden="1">
              <a:extLst>
                <a:ext uri="{63B3BB69-23CF-44E3-9099-C40C66FF867C}">
                  <a14:compatExt spid="_x0000_s2462"/>
                </a:ext>
                <a:ext uri="{FF2B5EF4-FFF2-40B4-BE49-F238E27FC236}">
                  <a16:creationId xmlns:a16="http://schemas.microsoft.com/office/drawing/2014/main" id="{00000000-0008-0000-0000-00009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3" name="Button 415" hidden="1">
              <a:extLst>
                <a:ext uri="{63B3BB69-23CF-44E3-9099-C40C66FF867C}">
                  <a14:compatExt spid="_x0000_s2463"/>
                </a:ext>
                <a:ext uri="{FF2B5EF4-FFF2-40B4-BE49-F238E27FC236}">
                  <a16:creationId xmlns:a16="http://schemas.microsoft.com/office/drawing/2014/main" id="{00000000-0008-0000-0000-00009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4" name="Button 416" hidden="1">
              <a:extLst>
                <a:ext uri="{63B3BB69-23CF-44E3-9099-C40C66FF867C}">
                  <a14:compatExt spid="_x0000_s2464"/>
                </a:ext>
                <a:ext uri="{FF2B5EF4-FFF2-40B4-BE49-F238E27FC236}">
                  <a16:creationId xmlns:a16="http://schemas.microsoft.com/office/drawing/2014/main" id="{00000000-0008-0000-0000-0000A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5" name="Button 417" hidden="1">
              <a:extLst>
                <a:ext uri="{63B3BB69-23CF-44E3-9099-C40C66FF867C}">
                  <a14:compatExt spid="_x0000_s2465"/>
                </a:ext>
                <a:ext uri="{FF2B5EF4-FFF2-40B4-BE49-F238E27FC236}">
                  <a16:creationId xmlns:a16="http://schemas.microsoft.com/office/drawing/2014/main" id="{00000000-0008-0000-0000-0000A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66" name="Button 418" hidden="1">
              <a:extLst>
                <a:ext uri="{63B3BB69-23CF-44E3-9099-C40C66FF867C}">
                  <a14:compatExt spid="_x0000_s2466"/>
                </a:ext>
                <a:ext uri="{FF2B5EF4-FFF2-40B4-BE49-F238E27FC236}">
                  <a16:creationId xmlns:a16="http://schemas.microsoft.com/office/drawing/2014/main" id="{00000000-0008-0000-0000-0000A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67" name="Button 419" hidden="1">
              <a:extLst>
                <a:ext uri="{63B3BB69-23CF-44E3-9099-C40C66FF867C}">
                  <a14:compatExt spid="_x0000_s2467"/>
                </a:ext>
                <a:ext uri="{FF2B5EF4-FFF2-40B4-BE49-F238E27FC236}">
                  <a16:creationId xmlns:a16="http://schemas.microsoft.com/office/drawing/2014/main" id="{00000000-0008-0000-0000-0000A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68" name="Button 420" hidden="1">
              <a:extLst>
                <a:ext uri="{63B3BB69-23CF-44E3-9099-C40C66FF867C}">
                  <a14:compatExt spid="_x0000_s2468"/>
                </a:ext>
                <a:ext uri="{FF2B5EF4-FFF2-40B4-BE49-F238E27FC236}">
                  <a16:creationId xmlns:a16="http://schemas.microsoft.com/office/drawing/2014/main" id="{00000000-0008-0000-0000-0000A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69" name="Button 421" hidden="1">
              <a:extLst>
                <a:ext uri="{63B3BB69-23CF-44E3-9099-C40C66FF867C}">
                  <a14:compatExt spid="_x0000_s2469"/>
                </a:ext>
                <a:ext uri="{FF2B5EF4-FFF2-40B4-BE49-F238E27FC236}">
                  <a16:creationId xmlns:a16="http://schemas.microsoft.com/office/drawing/2014/main" id="{00000000-0008-0000-0000-0000A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0" name="Button 422" hidden="1">
              <a:extLst>
                <a:ext uri="{63B3BB69-23CF-44E3-9099-C40C66FF867C}">
                  <a14:compatExt spid="_x0000_s2470"/>
                </a:ext>
                <a:ext uri="{FF2B5EF4-FFF2-40B4-BE49-F238E27FC236}">
                  <a16:creationId xmlns:a16="http://schemas.microsoft.com/office/drawing/2014/main" id="{00000000-0008-0000-0000-0000A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71" name="Button 423" hidden="1">
              <a:extLst>
                <a:ext uri="{63B3BB69-23CF-44E3-9099-C40C66FF867C}">
                  <a14:compatExt spid="_x0000_s2471"/>
                </a:ext>
                <a:ext uri="{FF2B5EF4-FFF2-40B4-BE49-F238E27FC236}">
                  <a16:creationId xmlns:a16="http://schemas.microsoft.com/office/drawing/2014/main" id="{00000000-0008-0000-0000-0000A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2" name="Button 424" hidden="1">
              <a:extLst>
                <a:ext uri="{63B3BB69-23CF-44E3-9099-C40C66FF867C}">
                  <a14:compatExt spid="_x0000_s2472"/>
                </a:ext>
                <a:ext uri="{FF2B5EF4-FFF2-40B4-BE49-F238E27FC236}">
                  <a16:creationId xmlns:a16="http://schemas.microsoft.com/office/drawing/2014/main" id="{00000000-0008-0000-0000-0000A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3" name="Button 425" hidden="1">
              <a:extLst>
                <a:ext uri="{63B3BB69-23CF-44E3-9099-C40C66FF867C}">
                  <a14:compatExt spid="_x0000_s2473"/>
                </a:ext>
                <a:ext uri="{FF2B5EF4-FFF2-40B4-BE49-F238E27FC236}">
                  <a16:creationId xmlns:a16="http://schemas.microsoft.com/office/drawing/2014/main" id="{00000000-0008-0000-0000-0000A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4" name="Button 426" hidden="1">
              <a:extLst>
                <a:ext uri="{63B3BB69-23CF-44E3-9099-C40C66FF867C}">
                  <a14:compatExt spid="_x0000_s2474"/>
                </a:ext>
                <a:ext uri="{FF2B5EF4-FFF2-40B4-BE49-F238E27FC236}">
                  <a16:creationId xmlns:a16="http://schemas.microsoft.com/office/drawing/2014/main" id="{00000000-0008-0000-0000-0000A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5" name="Button 427" hidden="1">
              <a:extLst>
                <a:ext uri="{63B3BB69-23CF-44E3-9099-C40C66FF867C}">
                  <a14:compatExt spid="_x0000_s2475"/>
                </a:ext>
                <a:ext uri="{FF2B5EF4-FFF2-40B4-BE49-F238E27FC236}">
                  <a16:creationId xmlns:a16="http://schemas.microsoft.com/office/drawing/2014/main" id="{00000000-0008-0000-0000-0000A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6" name="Button 428" hidden="1">
              <a:extLst>
                <a:ext uri="{63B3BB69-23CF-44E3-9099-C40C66FF867C}">
                  <a14:compatExt spid="_x0000_s2476"/>
                </a:ext>
                <a:ext uri="{FF2B5EF4-FFF2-40B4-BE49-F238E27FC236}">
                  <a16:creationId xmlns:a16="http://schemas.microsoft.com/office/drawing/2014/main" id="{00000000-0008-0000-0000-0000A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7" name="Button 429" hidden="1">
              <a:extLst>
                <a:ext uri="{63B3BB69-23CF-44E3-9099-C40C66FF867C}">
                  <a14:compatExt spid="_x0000_s2477"/>
                </a:ext>
                <a:ext uri="{FF2B5EF4-FFF2-40B4-BE49-F238E27FC236}">
                  <a16:creationId xmlns:a16="http://schemas.microsoft.com/office/drawing/2014/main" id="{00000000-0008-0000-0000-0000A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8" name="Button 430" hidden="1">
              <a:extLst>
                <a:ext uri="{63B3BB69-23CF-44E3-9099-C40C66FF867C}">
                  <a14:compatExt spid="_x0000_s2478"/>
                </a:ext>
                <a:ext uri="{FF2B5EF4-FFF2-40B4-BE49-F238E27FC236}">
                  <a16:creationId xmlns:a16="http://schemas.microsoft.com/office/drawing/2014/main" id="{00000000-0008-0000-0000-0000A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79" name="Button 431" hidden="1">
              <a:extLst>
                <a:ext uri="{63B3BB69-23CF-44E3-9099-C40C66FF867C}">
                  <a14:compatExt spid="_x0000_s2479"/>
                </a:ext>
                <a:ext uri="{FF2B5EF4-FFF2-40B4-BE49-F238E27FC236}">
                  <a16:creationId xmlns:a16="http://schemas.microsoft.com/office/drawing/2014/main" id="{00000000-0008-0000-0000-0000A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80" name="Button 432" hidden="1">
              <a:extLst>
                <a:ext uri="{63B3BB69-23CF-44E3-9099-C40C66FF867C}">
                  <a14:compatExt spid="_x0000_s2480"/>
                </a:ext>
                <a:ext uri="{FF2B5EF4-FFF2-40B4-BE49-F238E27FC236}">
                  <a16:creationId xmlns:a16="http://schemas.microsoft.com/office/drawing/2014/main" id="{00000000-0008-0000-0000-0000B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81" name="Button 433" hidden="1">
              <a:extLst>
                <a:ext uri="{63B3BB69-23CF-44E3-9099-C40C66FF867C}">
                  <a14:compatExt spid="_x0000_s2481"/>
                </a:ext>
                <a:ext uri="{FF2B5EF4-FFF2-40B4-BE49-F238E27FC236}">
                  <a16:creationId xmlns:a16="http://schemas.microsoft.com/office/drawing/2014/main" id="{00000000-0008-0000-0000-0000B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82" name="Button 434" hidden="1">
              <a:extLst>
                <a:ext uri="{63B3BB69-23CF-44E3-9099-C40C66FF867C}">
                  <a14:compatExt spid="_x0000_s2482"/>
                </a:ext>
                <a:ext uri="{FF2B5EF4-FFF2-40B4-BE49-F238E27FC236}">
                  <a16:creationId xmlns:a16="http://schemas.microsoft.com/office/drawing/2014/main" id="{00000000-0008-0000-0000-0000B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83" name="Button 435" hidden="1">
              <a:extLst>
                <a:ext uri="{63B3BB69-23CF-44E3-9099-C40C66FF867C}">
                  <a14:compatExt spid="_x0000_s2483"/>
                </a:ext>
                <a:ext uri="{FF2B5EF4-FFF2-40B4-BE49-F238E27FC236}">
                  <a16:creationId xmlns:a16="http://schemas.microsoft.com/office/drawing/2014/main" id="{00000000-0008-0000-0000-0000B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3119" name="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25" name="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29" name="Button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31" name="Butto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32" name="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33" name="Button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34" name="Button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37" name="Butto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38" name="Butto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39" name="Button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40" name="Butto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43" name="Button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44" name="Button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45" name="Button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1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7" name="Button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1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8" name="Butto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1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50" name="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51" name="Butto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1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1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1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1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1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1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1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1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1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1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1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1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1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1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1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1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1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1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1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1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2" name="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1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3" name="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1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1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1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1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1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1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1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1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3201" name="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1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3202" name="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1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1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1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1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1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1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1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1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1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1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1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1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1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1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1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1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1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1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1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1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1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1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1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1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1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1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1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1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1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1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1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1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1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1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1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1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3252" name="Button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3253" name="Button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3255" name="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3256" name="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3257" name="Button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1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3258" name="Button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1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3259" name="Button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1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3260" name="Button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1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3261" name="Button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1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3262" name="Button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1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3263" name="Button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1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3264" name="Button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1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3265" name="Button 193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100-0000C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3266" name="Button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1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3267" name="Button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1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3268" name="Button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1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3269" name="Button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1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3270" name="Button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1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3271" name="Button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1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3272" name="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1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3273" name="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1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3274" name="Button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1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3275" name="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3276" name="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3277" name="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3278" name="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3279" name="Button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1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3280" name="Button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3281" name="Button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1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3282" name="Button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1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3283" name="Button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1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3284" name="Button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1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3285" name="Button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1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86" name="Button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1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287" name="Button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1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288" name="Button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1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289" name="Button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1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290" name="Button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1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91" name="Button 219" hidden="1">
              <a:extLst>
                <a:ext uri="{63B3BB69-23CF-44E3-9099-C40C66FF867C}">
                  <a14:compatExt spid="_x0000_s3291"/>
                </a:ext>
                <a:ext uri="{FF2B5EF4-FFF2-40B4-BE49-F238E27FC236}">
                  <a16:creationId xmlns:a16="http://schemas.microsoft.com/office/drawing/2014/main" id="{00000000-0008-0000-0100-0000D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292" name="Button 220" hidden="1">
              <a:extLst>
                <a:ext uri="{63B3BB69-23CF-44E3-9099-C40C66FF867C}">
                  <a14:compatExt spid="_x0000_s3292"/>
                </a:ext>
                <a:ext uri="{FF2B5EF4-FFF2-40B4-BE49-F238E27FC236}">
                  <a16:creationId xmlns:a16="http://schemas.microsoft.com/office/drawing/2014/main" id="{00000000-0008-0000-0100-0000D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293" name="Button 221" hidden="1">
              <a:extLst>
                <a:ext uri="{63B3BB69-23CF-44E3-9099-C40C66FF867C}">
                  <a14:compatExt spid="_x0000_s3293"/>
                </a:ext>
                <a:ext uri="{FF2B5EF4-FFF2-40B4-BE49-F238E27FC236}">
                  <a16:creationId xmlns:a16="http://schemas.microsoft.com/office/drawing/2014/main" id="{00000000-0008-0000-0100-0000D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294" name="Button 222" hidden="1">
              <a:extLst>
                <a:ext uri="{63B3BB69-23CF-44E3-9099-C40C66FF867C}">
                  <a14:compatExt spid="_x0000_s3294"/>
                </a:ext>
                <a:ext uri="{FF2B5EF4-FFF2-40B4-BE49-F238E27FC236}">
                  <a16:creationId xmlns:a16="http://schemas.microsoft.com/office/drawing/2014/main" id="{00000000-0008-0000-0100-0000D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95" name="Button 223" hidden="1">
              <a:extLst>
                <a:ext uri="{63B3BB69-23CF-44E3-9099-C40C66FF867C}">
                  <a14:compatExt spid="_x0000_s3295"/>
                </a:ext>
                <a:ext uri="{FF2B5EF4-FFF2-40B4-BE49-F238E27FC236}">
                  <a16:creationId xmlns:a16="http://schemas.microsoft.com/office/drawing/2014/main" id="{00000000-0008-0000-0100-0000D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296" name="Button 224" hidden="1">
              <a:extLst>
                <a:ext uri="{63B3BB69-23CF-44E3-9099-C40C66FF867C}">
                  <a14:compatExt spid="_x0000_s3296"/>
                </a:ext>
                <a:ext uri="{FF2B5EF4-FFF2-40B4-BE49-F238E27FC236}">
                  <a16:creationId xmlns:a16="http://schemas.microsoft.com/office/drawing/2014/main" id="{00000000-0008-0000-0100-0000E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297" name="Button 225" hidden="1">
              <a:extLst>
                <a:ext uri="{63B3BB69-23CF-44E3-9099-C40C66FF867C}">
                  <a14:compatExt spid="_x0000_s3297"/>
                </a:ext>
                <a:ext uri="{FF2B5EF4-FFF2-40B4-BE49-F238E27FC236}">
                  <a16:creationId xmlns:a16="http://schemas.microsoft.com/office/drawing/2014/main" id="{00000000-0008-0000-0100-0000E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298" name="Button 226" hidden="1">
              <a:extLst>
                <a:ext uri="{63B3BB69-23CF-44E3-9099-C40C66FF867C}">
                  <a14:compatExt spid="_x0000_s3298"/>
                </a:ext>
                <a:ext uri="{FF2B5EF4-FFF2-40B4-BE49-F238E27FC236}">
                  <a16:creationId xmlns:a16="http://schemas.microsoft.com/office/drawing/2014/main" id="{00000000-0008-0000-0100-0000E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99" name="Button 227" hidden="1">
              <a:extLst>
                <a:ext uri="{63B3BB69-23CF-44E3-9099-C40C66FF867C}">
                  <a14:compatExt spid="_x0000_s3299"/>
                </a:ext>
                <a:ext uri="{FF2B5EF4-FFF2-40B4-BE49-F238E27FC236}">
                  <a16:creationId xmlns:a16="http://schemas.microsoft.com/office/drawing/2014/main" id="{00000000-0008-0000-0100-0000E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300" name="Button 228" hidden="1">
              <a:extLst>
                <a:ext uri="{63B3BB69-23CF-44E3-9099-C40C66FF867C}">
                  <a14:compatExt spid="_x0000_s3300"/>
                </a:ext>
                <a:ext uri="{FF2B5EF4-FFF2-40B4-BE49-F238E27FC236}">
                  <a16:creationId xmlns:a16="http://schemas.microsoft.com/office/drawing/2014/main" id="{00000000-0008-0000-0100-0000E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301" name="Button 229" hidden="1">
              <a:extLst>
                <a:ext uri="{63B3BB69-23CF-44E3-9099-C40C66FF867C}">
                  <a14:compatExt spid="_x0000_s3301"/>
                </a:ext>
                <a:ext uri="{FF2B5EF4-FFF2-40B4-BE49-F238E27FC236}">
                  <a16:creationId xmlns:a16="http://schemas.microsoft.com/office/drawing/2014/main" id="{00000000-0008-0000-0100-0000E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302" name="Button 230" hidden="1">
              <a:extLst>
                <a:ext uri="{63B3BB69-23CF-44E3-9099-C40C66FF867C}">
                  <a14:compatExt spid="_x0000_s3302"/>
                </a:ext>
                <a:ext uri="{FF2B5EF4-FFF2-40B4-BE49-F238E27FC236}">
                  <a16:creationId xmlns:a16="http://schemas.microsoft.com/office/drawing/2014/main" id="{00000000-0008-0000-0100-0000E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303" name="Button 231" hidden="1">
              <a:extLst>
                <a:ext uri="{63B3BB69-23CF-44E3-9099-C40C66FF867C}">
                  <a14:compatExt spid="_x0000_s3303"/>
                </a:ext>
                <a:ext uri="{FF2B5EF4-FFF2-40B4-BE49-F238E27FC236}">
                  <a16:creationId xmlns:a16="http://schemas.microsoft.com/office/drawing/2014/main" id="{00000000-0008-0000-0100-0000E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3304" name="Button 232" hidden="1">
              <a:extLst>
                <a:ext uri="{63B3BB69-23CF-44E3-9099-C40C66FF867C}">
                  <a14:compatExt spid="_x0000_s3304"/>
                </a:ext>
                <a:ext uri="{FF2B5EF4-FFF2-40B4-BE49-F238E27FC236}">
                  <a16:creationId xmlns:a16="http://schemas.microsoft.com/office/drawing/2014/main" id="{00000000-0008-0000-0100-0000E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437" Type="http://schemas.openxmlformats.org/officeDocument/2006/relationships/ctrlProp" Target="../ctrlProps/ctrlProp434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96" Type="http://schemas.openxmlformats.org/officeDocument/2006/relationships/ctrlProp" Target="../ctrlProps/ctrlProp293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36" Type="http://schemas.openxmlformats.org/officeDocument/2006/relationships/ctrlProp" Target="../ctrlProps/ctrlProp433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38" Type="http://schemas.openxmlformats.org/officeDocument/2006/relationships/ctrlProp" Target="../ctrlProps/ctrlProp435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Relationship Id="rId28" Type="http://schemas.openxmlformats.org/officeDocument/2006/relationships/ctrlProp" Target="../ctrlProps/ctrlProp25.xml"/><Relationship Id="rId275" Type="http://schemas.openxmlformats.org/officeDocument/2006/relationships/ctrlProp" Target="../ctrlProps/ctrlProp272.xml"/><Relationship Id="rId300" Type="http://schemas.openxmlformats.org/officeDocument/2006/relationships/ctrlProp" Target="../ctrlProps/ctrlProp297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9.xml"/><Relationship Id="rId21" Type="http://schemas.openxmlformats.org/officeDocument/2006/relationships/ctrlProp" Target="../ctrlProps/ctrlProp453.xml"/><Relationship Id="rId42" Type="http://schemas.openxmlformats.org/officeDocument/2006/relationships/ctrlProp" Target="../ctrlProps/ctrlProp474.xml"/><Relationship Id="rId63" Type="http://schemas.openxmlformats.org/officeDocument/2006/relationships/ctrlProp" Target="../ctrlProps/ctrlProp495.xml"/><Relationship Id="rId84" Type="http://schemas.openxmlformats.org/officeDocument/2006/relationships/ctrlProp" Target="../ctrlProps/ctrlProp516.xml"/><Relationship Id="rId138" Type="http://schemas.openxmlformats.org/officeDocument/2006/relationships/ctrlProp" Target="../ctrlProps/ctrlProp570.xml"/><Relationship Id="rId159" Type="http://schemas.openxmlformats.org/officeDocument/2006/relationships/ctrlProp" Target="../ctrlProps/ctrlProp591.xml"/><Relationship Id="rId170" Type="http://schemas.openxmlformats.org/officeDocument/2006/relationships/ctrlProp" Target="../ctrlProps/ctrlProp602.xml"/><Relationship Id="rId191" Type="http://schemas.openxmlformats.org/officeDocument/2006/relationships/ctrlProp" Target="../ctrlProps/ctrlProp623.xml"/><Relationship Id="rId205" Type="http://schemas.openxmlformats.org/officeDocument/2006/relationships/ctrlProp" Target="../ctrlProps/ctrlProp637.xml"/><Relationship Id="rId226" Type="http://schemas.openxmlformats.org/officeDocument/2006/relationships/ctrlProp" Target="../ctrlProps/ctrlProp658.xml"/><Relationship Id="rId107" Type="http://schemas.openxmlformats.org/officeDocument/2006/relationships/ctrlProp" Target="../ctrlProps/ctrlProp539.xml"/><Relationship Id="rId11" Type="http://schemas.openxmlformats.org/officeDocument/2006/relationships/ctrlProp" Target="../ctrlProps/ctrlProp443.xml"/><Relationship Id="rId32" Type="http://schemas.openxmlformats.org/officeDocument/2006/relationships/ctrlProp" Target="../ctrlProps/ctrlProp464.xml"/><Relationship Id="rId53" Type="http://schemas.openxmlformats.org/officeDocument/2006/relationships/ctrlProp" Target="../ctrlProps/ctrlProp485.xml"/><Relationship Id="rId74" Type="http://schemas.openxmlformats.org/officeDocument/2006/relationships/ctrlProp" Target="../ctrlProps/ctrlProp506.xml"/><Relationship Id="rId128" Type="http://schemas.openxmlformats.org/officeDocument/2006/relationships/ctrlProp" Target="../ctrlProps/ctrlProp560.xml"/><Relationship Id="rId149" Type="http://schemas.openxmlformats.org/officeDocument/2006/relationships/ctrlProp" Target="../ctrlProps/ctrlProp581.xml"/><Relationship Id="rId5" Type="http://schemas.openxmlformats.org/officeDocument/2006/relationships/ctrlProp" Target="../ctrlProps/ctrlProp437.xml"/><Relationship Id="rId95" Type="http://schemas.openxmlformats.org/officeDocument/2006/relationships/ctrlProp" Target="../ctrlProps/ctrlProp527.xml"/><Relationship Id="rId160" Type="http://schemas.openxmlformats.org/officeDocument/2006/relationships/ctrlProp" Target="../ctrlProps/ctrlProp592.xml"/><Relationship Id="rId181" Type="http://schemas.openxmlformats.org/officeDocument/2006/relationships/ctrlProp" Target="../ctrlProps/ctrlProp613.xml"/><Relationship Id="rId216" Type="http://schemas.openxmlformats.org/officeDocument/2006/relationships/ctrlProp" Target="../ctrlProps/ctrlProp648.xml"/><Relationship Id="rId22" Type="http://schemas.openxmlformats.org/officeDocument/2006/relationships/ctrlProp" Target="../ctrlProps/ctrlProp454.xml"/><Relationship Id="rId43" Type="http://schemas.openxmlformats.org/officeDocument/2006/relationships/ctrlProp" Target="../ctrlProps/ctrlProp475.xml"/><Relationship Id="rId64" Type="http://schemas.openxmlformats.org/officeDocument/2006/relationships/ctrlProp" Target="../ctrlProps/ctrlProp496.xml"/><Relationship Id="rId118" Type="http://schemas.openxmlformats.org/officeDocument/2006/relationships/ctrlProp" Target="../ctrlProps/ctrlProp550.xml"/><Relationship Id="rId139" Type="http://schemas.openxmlformats.org/officeDocument/2006/relationships/ctrlProp" Target="../ctrlProps/ctrlProp571.xml"/><Relationship Id="rId85" Type="http://schemas.openxmlformats.org/officeDocument/2006/relationships/ctrlProp" Target="../ctrlProps/ctrlProp517.xml"/><Relationship Id="rId150" Type="http://schemas.openxmlformats.org/officeDocument/2006/relationships/ctrlProp" Target="../ctrlProps/ctrlProp582.xml"/><Relationship Id="rId171" Type="http://schemas.openxmlformats.org/officeDocument/2006/relationships/ctrlProp" Target="../ctrlProps/ctrlProp603.xml"/><Relationship Id="rId192" Type="http://schemas.openxmlformats.org/officeDocument/2006/relationships/ctrlProp" Target="../ctrlProps/ctrlProp624.xml"/><Relationship Id="rId206" Type="http://schemas.openxmlformats.org/officeDocument/2006/relationships/ctrlProp" Target="../ctrlProps/ctrlProp638.xml"/><Relationship Id="rId227" Type="http://schemas.openxmlformats.org/officeDocument/2006/relationships/ctrlProp" Target="../ctrlProps/ctrlProp659.xml"/><Relationship Id="rId12" Type="http://schemas.openxmlformats.org/officeDocument/2006/relationships/ctrlProp" Target="../ctrlProps/ctrlProp444.xml"/><Relationship Id="rId33" Type="http://schemas.openxmlformats.org/officeDocument/2006/relationships/ctrlProp" Target="../ctrlProps/ctrlProp465.xml"/><Relationship Id="rId108" Type="http://schemas.openxmlformats.org/officeDocument/2006/relationships/ctrlProp" Target="../ctrlProps/ctrlProp540.xml"/><Relationship Id="rId129" Type="http://schemas.openxmlformats.org/officeDocument/2006/relationships/ctrlProp" Target="../ctrlProps/ctrlProp561.xml"/><Relationship Id="rId54" Type="http://schemas.openxmlformats.org/officeDocument/2006/relationships/ctrlProp" Target="../ctrlProps/ctrlProp486.xml"/><Relationship Id="rId75" Type="http://schemas.openxmlformats.org/officeDocument/2006/relationships/ctrlProp" Target="../ctrlProps/ctrlProp507.xml"/><Relationship Id="rId96" Type="http://schemas.openxmlformats.org/officeDocument/2006/relationships/ctrlProp" Target="../ctrlProps/ctrlProp528.xml"/><Relationship Id="rId140" Type="http://schemas.openxmlformats.org/officeDocument/2006/relationships/ctrlProp" Target="../ctrlProps/ctrlProp572.xml"/><Relationship Id="rId161" Type="http://schemas.openxmlformats.org/officeDocument/2006/relationships/ctrlProp" Target="../ctrlProps/ctrlProp593.xml"/><Relationship Id="rId182" Type="http://schemas.openxmlformats.org/officeDocument/2006/relationships/ctrlProp" Target="../ctrlProps/ctrlProp614.xml"/><Relationship Id="rId217" Type="http://schemas.openxmlformats.org/officeDocument/2006/relationships/ctrlProp" Target="../ctrlProps/ctrlProp649.xml"/><Relationship Id="rId6" Type="http://schemas.openxmlformats.org/officeDocument/2006/relationships/ctrlProp" Target="../ctrlProps/ctrlProp438.xml"/><Relationship Id="rId23" Type="http://schemas.openxmlformats.org/officeDocument/2006/relationships/ctrlProp" Target="../ctrlProps/ctrlProp455.xml"/><Relationship Id="rId119" Type="http://schemas.openxmlformats.org/officeDocument/2006/relationships/ctrlProp" Target="../ctrlProps/ctrlProp551.xml"/><Relationship Id="rId44" Type="http://schemas.openxmlformats.org/officeDocument/2006/relationships/ctrlProp" Target="../ctrlProps/ctrlProp476.xml"/><Relationship Id="rId65" Type="http://schemas.openxmlformats.org/officeDocument/2006/relationships/ctrlProp" Target="../ctrlProps/ctrlProp497.xml"/><Relationship Id="rId86" Type="http://schemas.openxmlformats.org/officeDocument/2006/relationships/ctrlProp" Target="../ctrlProps/ctrlProp518.xml"/><Relationship Id="rId130" Type="http://schemas.openxmlformats.org/officeDocument/2006/relationships/ctrlProp" Target="../ctrlProps/ctrlProp562.xml"/><Relationship Id="rId151" Type="http://schemas.openxmlformats.org/officeDocument/2006/relationships/ctrlProp" Target="../ctrlProps/ctrlProp583.xml"/><Relationship Id="rId172" Type="http://schemas.openxmlformats.org/officeDocument/2006/relationships/ctrlProp" Target="../ctrlProps/ctrlProp604.xml"/><Relationship Id="rId193" Type="http://schemas.openxmlformats.org/officeDocument/2006/relationships/ctrlProp" Target="../ctrlProps/ctrlProp625.xml"/><Relationship Id="rId207" Type="http://schemas.openxmlformats.org/officeDocument/2006/relationships/ctrlProp" Target="../ctrlProps/ctrlProp639.xml"/><Relationship Id="rId228" Type="http://schemas.openxmlformats.org/officeDocument/2006/relationships/ctrlProp" Target="../ctrlProps/ctrlProp660.xml"/><Relationship Id="rId13" Type="http://schemas.openxmlformats.org/officeDocument/2006/relationships/ctrlProp" Target="../ctrlProps/ctrlProp445.xml"/><Relationship Id="rId109" Type="http://schemas.openxmlformats.org/officeDocument/2006/relationships/ctrlProp" Target="../ctrlProps/ctrlProp541.xml"/><Relationship Id="rId34" Type="http://schemas.openxmlformats.org/officeDocument/2006/relationships/ctrlProp" Target="../ctrlProps/ctrlProp466.xml"/><Relationship Id="rId55" Type="http://schemas.openxmlformats.org/officeDocument/2006/relationships/ctrlProp" Target="../ctrlProps/ctrlProp487.xml"/><Relationship Id="rId76" Type="http://schemas.openxmlformats.org/officeDocument/2006/relationships/ctrlProp" Target="../ctrlProps/ctrlProp508.xml"/><Relationship Id="rId97" Type="http://schemas.openxmlformats.org/officeDocument/2006/relationships/ctrlProp" Target="../ctrlProps/ctrlProp529.xml"/><Relationship Id="rId120" Type="http://schemas.openxmlformats.org/officeDocument/2006/relationships/ctrlProp" Target="../ctrlProps/ctrlProp552.xml"/><Relationship Id="rId141" Type="http://schemas.openxmlformats.org/officeDocument/2006/relationships/ctrlProp" Target="../ctrlProps/ctrlProp573.xml"/><Relationship Id="rId7" Type="http://schemas.openxmlformats.org/officeDocument/2006/relationships/ctrlProp" Target="../ctrlProps/ctrlProp439.xml"/><Relationship Id="rId162" Type="http://schemas.openxmlformats.org/officeDocument/2006/relationships/ctrlProp" Target="../ctrlProps/ctrlProp594.xml"/><Relationship Id="rId183" Type="http://schemas.openxmlformats.org/officeDocument/2006/relationships/ctrlProp" Target="../ctrlProps/ctrlProp615.xml"/><Relationship Id="rId218" Type="http://schemas.openxmlformats.org/officeDocument/2006/relationships/ctrlProp" Target="../ctrlProps/ctrlProp650.xml"/><Relationship Id="rId24" Type="http://schemas.openxmlformats.org/officeDocument/2006/relationships/ctrlProp" Target="../ctrlProps/ctrlProp456.xml"/><Relationship Id="rId45" Type="http://schemas.openxmlformats.org/officeDocument/2006/relationships/ctrlProp" Target="../ctrlProps/ctrlProp477.xml"/><Relationship Id="rId66" Type="http://schemas.openxmlformats.org/officeDocument/2006/relationships/ctrlProp" Target="../ctrlProps/ctrlProp498.xml"/><Relationship Id="rId87" Type="http://schemas.openxmlformats.org/officeDocument/2006/relationships/ctrlProp" Target="../ctrlProps/ctrlProp519.xml"/><Relationship Id="rId110" Type="http://schemas.openxmlformats.org/officeDocument/2006/relationships/ctrlProp" Target="../ctrlProps/ctrlProp542.xml"/><Relationship Id="rId131" Type="http://schemas.openxmlformats.org/officeDocument/2006/relationships/ctrlProp" Target="../ctrlProps/ctrlProp563.xml"/><Relationship Id="rId152" Type="http://schemas.openxmlformats.org/officeDocument/2006/relationships/ctrlProp" Target="../ctrlProps/ctrlProp584.xml"/><Relationship Id="rId173" Type="http://schemas.openxmlformats.org/officeDocument/2006/relationships/ctrlProp" Target="../ctrlProps/ctrlProp605.xml"/><Relationship Id="rId194" Type="http://schemas.openxmlformats.org/officeDocument/2006/relationships/ctrlProp" Target="../ctrlProps/ctrlProp626.xml"/><Relationship Id="rId208" Type="http://schemas.openxmlformats.org/officeDocument/2006/relationships/ctrlProp" Target="../ctrlProps/ctrlProp640.xml"/><Relationship Id="rId229" Type="http://schemas.openxmlformats.org/officeDocument/2006/relationships/ctrlProp" Target="../ctrlProps/ctrlProp661.xml"/><Relationship Id="rId14" Type="http://schemas.openxmlformats.org/officeDocument/2006/relationships/ctrlProp" Target="../ctrlProps/ctrlProp446.xml"/><Relationship Id="rId35" Type="http://schemas.openxmlformats.org/officeDocument/2006/relationships/ctrlProp" Target="../ctrlProps/ctrlProp467.xml"/><Relationship Id="rId56" Type="http://schemas.openxmlformats.org/officeDocument/2006/relationships/ctrlProp" Target="../ctrlProps/ctrlProp488.xml"/><Relationship Id="rId77" Type="http://schemas.openxmlformats.org/officeDocument/2006/relationships/ctrlProp" Target="../ctrlProps/ctrlProp509.xml"/><Relationship Id="rId100" Type="http://schemas.openxmlformats.org/officeDocument/2006/relationships/ctrlProp" Target="../ctrlProps/ctrlProp532.xml"/><Relationship Id="rId8" Type="http://schemas.openxmlformats.org/officeDocument/2006/relationships/ctrlProp" Target="../ctrlProps/ctrlProp440.xml"/><Relationship Id="rId98" Type="http://schemas.openxmlformats.org/officeDocument/2006/relationships/ctrlProp" Target="../ctrlProps/ctrlProp530.xml"/><Relationship Id="rId121" Type="http://schemas.openxmlformats.org/officeDocument/2006/relationships/ctrlProp" Target="../ctrlProps/ctrlProp553.xml"/><Relationship Id="rId142" Type="http://schemas.openxmlformats.org/officeDocument/2006/relationships/ctrlProp" Target="../ctrlProps/ctrlProp574.xml"/><Relationship Id="rId163" Type="http://schemas.openxmlformats.org/officeDocument/2006/relationships/ctrlProp" Target="../ctrlProps/ctrlProp595.xml"/><Relationship Id="rId184" Type="http://schemas.openxmlformats.org/officeDocument/2006/relationships/ctrlProp" Target="../ctrlProps/ctrlProp616.xml"/><Relationship Id="rId219" Type="http://schemas.openxmlformats.org/officeDocument/2006/relationships/ctrlProp" Target="../ctrlProps/ctrlProp651.xml"/><Relationship Id="rId230" Type="http://schemas.openxmlformats.org/officeDocument/2006/relationships/ctrlProp" Target="../ctrlProps/ctrlProp662.xml"/><Relationship Id="rId25" Type="http://schemas.openxmlformats.org/officeDocument/2006/relationships/ctrlProp" Target="../ctrlProps/ctrlProp457.xml"/><Relationship Id="rId46" Type="http://schemas.openxmlformats.org/officeDocument/2006/relationships/ctrlProp" Target="../ctrlProps/ctrlProp478.xml"/><Relationship Id="rId67" Type="http://schemas.openxmlformats.org/officeDocument/2006/relationships/ctrlProp" Target="../ctrlProps/ctrlProp499.xml"/><Relationship Id="rId20" Type="http://schemas.openxmlformats.org/officeDocument/2006/relationships/ctrlProp" Target="../ctrlProps/ctrlProp452.xml"/><Relationship Id="rId41" Type="http://schemas.openxmlformats.org/officeDocument/2006/relationships/ctrlProp" Target="../ctrlProps/ctrlProp473.xml"/><Relationship Id="rId62" Type="http://schemas.openxmlformats.org/officeDocument/2006/relationships/ctrlProp" Target="../ctrlProps/ctrlProp494.xml"/><Relationship Id="rId83" Type="http://schemas.openxmlformats.org/officeDocument/2006/relationships/ctrlProp" Target="../ctrlProps/ctrlProp515.xml"/><Relationship Id="rId88" Type="http://schemas.openxmlformats.org/officeDocument/2006/relationships/ctrlProp" Target="../ctrlProps/ctrlProp520.xml"/><Relationship Id="rId111" Type="http://schemas.openxmlformats.org/officeDocument/2006/relationships/ctrlProp" Target="../ctrlProps/ctrlProp543.xml"/><Relationship Id="rId132" Type="http://schemas.openxmlformats.org/officeDocument/2006/relationships/ctrlProp" Target="../ctrlProps/ctrlProp564.xml"/><Relationship Id="rId153" Type="http://schemas.openxmlformats.org/officeDocument/2006/relationships/ctrlProp" Target="../ctrlProps/ctrlProp585.xml"/><Relationship Id="rId174" Type="http://schemas.openxmlformats.org/officeDocument/2006/relationships/ctrlProp" Target="../ctrlProps/ctrlProp606.xml"/><Relationship Id="rId179" Type="http://schemas.openxmlformats.org/officeDocument/2006/relationships/ctrlProp" Target="../ctrlProps/ctrlProp611.xml"/><Relationship Id="rId195" Type="http://schemas.openxmlformats.org/officeDocument/2006/relationships/ctrlProp" Target="../ctrlProps/ctrlProp627.xml"/><Relationship Id="rId209" Type="http://schemas.openxmlformats.org/officeDocument/2006/relationships/ctrlProp" Target="../ctrlProps/ctrlProp641.xml"/><Relationship Id="rId190" Type="http://schemas.openxmlformats.org/officeDocument/2006/relationships/ctrlProp" Target="../ctrlProps/ctrlProp622.xml"/><Relationship Id="rId204" Type="http://schemas.openxmlformats.org/officeDocument/2006/relationships/ctrlProp" Target="../ctrlProps/ctrlProp636.xml"/><Relationship Id="rId220" Type="http://schemas.openxmlformats.org/officeDocument/2006/relationships/ctrlProp" Target="../ctrlProps/ctrlProp652.xml"/><Relationship Id="rId225" Type="http://schemas.openxmlformats.org/officeDocument/2006/relationships/ctrlProp" Target="../ctrlProps/ctrlProp657.xml"/><Relationship Id="rId15" Type="http://schemas.openxmlformats.org/officeDocument/2006/relationships/ctrlProp" Target="../ctrlProps/ctrlProp447.xml"/><Relationship Id="rId36" Type="http://schemas.openxmlformats.org/officeDocument/2006/relationships/ctrlProp" Target="../ctrlProps/ctrlProp468.xml"/><Relationship Id="rId57" Type="http://schemas.openxmlformats.org/officeDocument/2006/relationships/ctrlProp" Target="../ctrlProps/ctrlProp489.xml"/><Relationship Id="rId106" Type="http://schemas.openxmlformats.org/officeDocument/2006/relationships/ctrlProp" Target="../ctrlProps/ctrlProp538.xml"/><Relationship Id="rId127" Type="http://schemas.openxmlformats.org/officeDocument/2006/relationships/ctrlProp" Target="../ctrlProps/ctrlProp559.xml"/><Relationship Id="rId10" Type="http://schemas.openxmlformats.org/officeDocument/2006/relationships/ctrlProp" Target="../ctrlProps/ctrlProp442.xml"/><Relationship Id="rId31" Type="http://schemas.openxmlformats.org/officeDocument/2006/relationships/ctrlProp" Target="../ctrlProps/ctrlProp463.xml"/><Relationship Id="rId52" Type="http://schemas.openxmlformats.org/officeDocument/2006/relationships/ctrlProp" Target="../ctrlProps/ctrlProp484.xml"/><Relationship Id="rId73" Type="http://schemas.openxmlformats.org/officeDocument/2006/relationships/ctrlProp" Target="../ctrlProps/ctrlProp505.xml"/><Relationship Id="rId78" Type="http://schemas.openxmlformats.org/officeDocument/2006/relationships/ctrlProp" Target="../ctrlProps/ctrlProp510.xml"/><Relationship Id="rId94" Type="http://schemas.openxmlformats.org/officeDocument/2006/relationships/ctrlProp" Target="../ctrlProps/ctrlProp526.xml"/><Relationship Id="rId99" Type="http://schemas.openxmlformats.org/officeDocument/2006/relationships/ctrlProp" Target="../ctrlProps/ctrlProp531.xml"/><Relationship Id="rId101" Type="http://schemas.openxmlformats.org/officeDocument/2006/relationships/ctrlProp" Target="../ctrlProps/ctrlProp533.xml"/><Relationship Id="rId122" Type="http://schemas.openxmlformats.org/officeDocument/2006/relationships/ctrlProp" Target="../ctrlProps/ctrlProp554.xml"/><Relationship Id="rId143" Type="http://schemas.openxmlformats.org/officeDocument/2006/relationships/ctrlProp" Target="../ctrlProps/ctrlProp575.xml"/><Relationship Id="rId148" Type="http://schemas.openxmlformats.org/officeDocument/2006/relationships/ctrlProp" Target="../ctrlProps/ctrlProp580.xml"/><Relationship Id="rId164" Type="http://schemas.openxmlformats.org/officeDocument/2006/relationships/ctrlProp" Target="../ctrlProps/ctrlProp596.xml"/><Relationship Id="rId169" Type="http://schemas.openxmlformats.org/officeDocument/2006/relationships/ctrlProp" Target="../ctrlProps/ctrlProp601.xml"/><Relationship Id="rId185" Type="http://schemas.openxmlformats.org/officeDocument/2006/relationships/ctrlProp" Target="../ctrlProps/ctrlProp617.xml"/><Relationship Id="rId4" Type="http://schemas.openxmlformats.org/officeDocument/2006/relationships/ctrlProp" Target="../ctrlProps/ctrlProp436.xml"/><Relationship Id="rId9" Type="http://schemas.openxmlformats.org/officeDocument/2006/relationships/ctrlProp" Target="../ctrlProps/ctrlProp441.xml"/><Relationship Id="rId180" Type="http://schemas.openxmlformats.org/officeDocument/2006/relationships/ctrlProp" Target="../ctrlProps/ctrlProp612.xml"/><Relationship Id="rId210" Type="http://schemas.openxmlformats.org/officeDocument/2006/relationships/ctrlProp" Target="../ctrlProps/ctrlProp642.xml"/><Relationship Id="rId215" Type="http://schemas.openxmlformats.org/officeDocument/2006/relationships/ctrlProp" Target="../ctrlProps/ctrlProp647.xml"/><Relationship Id="rId26" Type="http://schemas.openxmlformats.org/officeDocument/2006/relationships/ctrlProp" Target="../ctrlProps/ctrlProp458.xml"/><Relationship Id="rId231" Type="http://schemas.openxmlformats.org/officeDocument/2006/relationships/ctrlProp" Target="../ctrlProps/ctrlProp663.xml"/><Relationship Id="rId47" Type="http://schemas.openxmlformats.org/officeDocument/2006/relationships/ctrlProp" Target="../ctrlProps/ctrlProp479.xml"/><Relationship Id="rId68" Type="http://schemas.openxmlformats.org/officeDocument/2006/relationships/ctrlProp" Target="../ctrlProps/ctrlProp500.xml"/><Relationship Id="rId89" Type="http://schemas.openxmlformats.org/officeDocument/2006/relationships/ctrlProp" Target="../ctrlProps/ctrlProp521.xml"/><Relationship Id="rId112" Type="http://schemas.openxmlformats.org/officeDocument/2006/relationships/ctrlProp" Target="../ctrlProps/ctrlProp544.xml"/><Relationship Id="rId133" Type="http://schemas.openxmlformats.org/officeDocument/2006/relationships/ctrlProp" Target="../ctrlProps/ctrlProp565.xml"/><Relationship Id="rId154" Type="http://schemas.openxmlformats.org/officeDocument/2006/relationships/ctrlProp" Target="../ctrlProps/ctrlProp586.xml"/><Relationship Id="rId175" Type="http://schemas.openxmlformats.org/officeDocument/2006/relationships/ctrlProp" Target="../ctrlProps/ctrlProp607.xml"/><Relationship Id="rId196" Type="http://schemas.openxmlformats.org/officeDocument/2006/relationships/ctrlProp" Target="../ctrlProps/ctrlProp628.xml"/><Relationship Id="rId200" Type="http://schemas.openxmlformats.org/officeDocument/2006/relationships/ctrlProp" Target="../ctrlProps/ctrlProp632.xml"/><Relationship Id="rId16" Type="http://schemas.openxmlformats.org/officeDocument/2006/relationships/ctrlProp" Target="../ctrlProps/ctrlProp448.xml"/><Relationship Id="rId221" Type="http://schemas.openxmlformats.org/officeDocument/2006/relationships/ctrlProp" Target="../ctrlProps/ctrlProp653.xml"/><Relationship Id="rId37" Type="http://schemas.openxmlformats.org/officeDocument/2006/relationships/ctrlProp" Target="../ctrlProps/ctrlProp469.xml"/><Relationship Id="rId58" Type="http://schemas.openxmlformats.org/officeDocument/2006/relationships/ctrlProp" Target="../ctrlProps/ctrlProp490.xml"/><Relationship Id="rId79" Type="http://schemas.openxmlformats.org/officeDocument/2006/relationships/ctrlProp" Target="../ctrlProps/ctrlProp511.xml"/><Relationship Id="rId102" Type="http://schemas.openxmlformats.org/officeDocument/2006/relationships/ctrlProp" Target="../ctrlProps/ctrlProp534.xml"/><Relationship Id="rId123" Type="http://schemas.openxmlformats.org/officeDocument/2006/relationships/ctrlProp" Target="../ctrlProps/ctrlProp555.xml"/><Relationship Id="rId144" Type="http://schemas.openxmlformats.org/officeDocument/2006/relationships/ctrlProp" Target="../ctrlProps/ctrlProp576.xml"/><Relationship Id="rId90" Type="http://schemas.openxmlformats.org/officeDocument/2006/relationships/ctrlProp" Target="../ctrlProps/ctrlProp522.xml"/><Relationship Id="rId165" Type="http://schemas.openxmlformats.org/officeDocument/2006/relationships/ctrlProp" Target="../ctrlProps/ctrlProp597.xml"/><Relationship Id="rId186" Type="http://schemas.openxmlformats.org/officeDocument/2006/relationships/ctrlProp" Target="../ctrlProps/ctrlProp618.xml"/><Relationship Id="rId211" Type="http://schemas.openxmlformats.org/officeDocument/2006/relationships/ctrlProp" Target="../ctrlProps/ctrlProp643.xml"/><Relationship Id="rId232" Type="http://schemas.openxmlformats.org/officeDocument/2006/relationships/ctrlProp" Target="../ctrlProps/ctrlProp664.xml"/><Relationship Id="rId27" Type="http://schemas.openxmlformats.org/officeDocument/2006/relationships/ctrlProp" Target="../ctrlProps/ctrlProp459.xml"/><Relationship Id="rId48" Type="http://schemas.openxmlformats.org/officeDocument/2006/relationships/ctrlProp" Target="../ctrlProps/ctrlProp480.xml"/><Relationship Id="rId69" Type="http://schemas.openxmlformats.org/officeDocument/2006/relationships/ctrlProp" Target="../ctrlProps/ctrlProp501.xml"/><Relationship Id="rId113" Type="http://schemas.openxmlformats.org/officeDocument/2006/relationships/ctrlProp" Target="../ctrlProps/ctrlProp545.xml"/><Relationship Id="rId134" Type="http://schemas.openxmlformats.org/officeDocument/2006/relationships/ctrlProp" Target="../ctrlProps/ctrlProp566.xml"/><Relationship Id="rId80" Type="http://schemas.openxmlformats.org/officeDocument/2006/relationships/ctrlProp" Target="../ctrlProps/ctrlProp512.xml"/><Relationship Id="rId155" Type="http://schemas.openxmlformats.org/officeDocument/2006/relationships/ctrlProp" Target="../ctrlProps/ctrlProp587.xml"/><Relationship Id="rId176" Type="http://schemas.openxmlformats.org/officeDocument/2006/relationships/ctrlProp" Target="../ctrlProps/ctrlProp608.xml"/><Relationship Id="rId197" Type="http://schemas.openxmlformats.org/officeDocument/2006/relationships/ctrlProp" Target="../ctrlProps/ctrlProp629.xml"/><Relationship Id="rId201" Type="http://schemas.openxmlformats.org/officeDocument/2006/relationships/ctrlProp" Target="../ctrlProps/ctrlProp633.xml"/><Relationship Id="rId222" Type="http://schemas.openxmlformats.org/officeDocument/2006/relationships/ctrlProp" Target="../ctrlProps/ctrlProp654.xml"/><Relationship Id="rId17" Type="http://schemas.openxmlformats.org/officeDocument/2006/relationships/ctrlProp" Target="../ctrlProps/ctrlProp449.xml"/><Relationship Id="rId38" Type="http://schemas.openxmlformats.org/officeDocument/2006/relationships/ctrlProp" Target="../ctrlProps/ctrlProp470.xml"/><Relationship Id="rId59" Type="http://schemas.openxmlformats.org/officeDocument/2006/relationships/ctrlProp" Target="../ctrlProps/ctrlProp491.xml"/><Relationship Id="rId103" Type="http://schemas.openxmlformats.org/officeDocument/2006/relationships/ctrlProp" Target="../ctrlProps/ctrlProp535.xml"/><Relationship Id="rId124" Type="http://schemas.openxmlformats.org/officeDocument/2006/relationships/ctrlProp" Target="../ctrlProps/ctrlProp556.xml"/><Relationship Id="rId70" Type="http://schemas.openxmlformats.org/officeDocument/2006/relationships/ctrlProp" Target="../ctrlProps/ctrlProp502.xml"/><Relationship Id="rId91" Type="http://schemas.openxmlformats.org/officeDocument/2006/relationships/ctrlProp" Target="../ctrlProps/ctrlProp523.xml"/><Relationship Id="rId145" Type="http://schemas.openxmlformats.org/officeDocument/2006/relationships/ctrlProp" Target="../ctrlProps/ctrlProp577.xml"/><Relationship Id="rId166" Type="http://schemas.openxmlformats.org/officeDocument/2006/relationships/ctrlProp" Target="../ctrlProps/ctrlProp598.xml"/><Relationship Id="rId187" Type="http://schemas.openxmlformats.org/officeDocument/2006/relationships/ctrlProp" Target="../ctrlProps/ctrlProp61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644.xml"/><Relationship Id="rId233" Type="http://schemas.openxmlformats.org/officeDocument/2006/relationships/ctrlProp" Target="../ctrlProps/ctrlProp665.xml"/><Relationship Id="rId28" Type="http://schemas.openxmlformats.org/officeDocument/2006/relationships/ctrlProp" Target="../ctrlProps/ctrlProp460.xml"/><Relationship Id="rId49" Type="http://schemas.openxmlformats.org/officeDocument/2006/relationships/ctrlProp" Target="../ctrlProps/ctrlProp481.xml"/><Relationship Id="rId114" Type="http://schemas.openxmlformats.org/officeDocument/2006/relationships/ctrlProp" Target="../ctrlProps/ctrlProp546.xml"/><Relationship Id="rId60" Type="http://schemas.openxmlformats.org/officeDocument/2006/relationships/ctrlProp" Target="../ctrlProps/ctrlProp492.xml"/><Relationship Id="rId81" Type="http://schemas.openxmlformats.org/officeDocument/2006/relationships/ctrlProp" Target="../ctrlProps/ctrlProp513.xml"/><Relationship Id="rId135" Type="http://schemas.openxmlformats.org/officeDocument/2006/relationships/ctrlProp" Target="../ctrlProps/ctrlProp567.xml"/><Relationship Id="rId156" Type="http://schemas.openxmlformats.org/officeDocument/2006/relationships/ctrlProp" Target="../ctrlProps/ctrlProp588.xml"/><Relationship Id="rId177" Type="http://schemas.openxmlformats.org/officeDocument/2006/relationships/ctrlProp" Target="../ctrlProps/ctrlProp609.xml"/><Relationship Id="rId198" Type="http://schemas.openxmlformats.org/officeDocument/2006/relationships/ctrlProp" Target="../ctrlProps/ctrlProp630.xml"/><Relationship Id="rId202" Type="http://schemas.openxmlformats.org/officeDocument/2006/relationships/ctrlProp" Target="../ctrlProps/ctrlProp634.xml"/><Relationship Id="rId223" Type="http://schemas.openxmlformats.org/officeDocument/2006/relationships/ctrlProp" Target="../ctrlProps/ctrlProp655.xml"/><Relationship Id="rId18" Type="http://schemas.openxmlformats.org/officeDocument/2006/relationships/ctrlProp" Target="../ctrlProps/ctrlProp450.xml"/><Relationship Id="rId39" Type="http://schemas.openxmlformats.org/officeDocument/2006/relationships/ctrlProp" Target="../ctrlProps/ctrlProp471.xml"/><Relationship Id="rId50" Type="http://schemas.openxmlformats.org/officeDocument/2006/relationships/ctrlProp" Target="../ctrlProps/ctrlProp482.xml"/><Relationship Id="rId104" Type="http://schemas.openxmlformats.org/officeDocument/2006/relationships/ctrlProp" Target="../ctrlProps/ctrlProp536.xml"/><Relationship Id="rId125" Type="http://schemas.openxmlformats.org/officeDocument/2006/relationships/ctrlProp" Target="../ctrlProps/ctrlProp557.xml"/><Relationship Id="rId146" Type="http://schemas.openxmlformats.org/officeDocument/2006/relationships/ctrlProp" Target="../ctrlProps/ctrlProp578.xml"/><Relationship Id="rId167" Type="http://schemas.openxmlformats.org/officeDocument/2006/relationships/ctrlProp" Target="../ctrlProps/ctrlProp599.xml"/><Relationship Id="rId188" Type="http://schemas.openxmlformats.org/officeDocument/2006/relationships/ctrlProp" Target="../ctrlProps/ctrlProp620.xml"/><Relationship Id="rId71" Type="http://schemas.openxmlformats.org/officeDocument/2006/relationships/ctrlProp" Target="../ctrlProps/ctrlProp503.xml"/><Relationship Id="rId92" Type="http://schemas.openxmlformats.org/officeDocument/2006/relationships/ctrlProp" Target="../ctrlProps/ctrlProp524.xml"/><Relationship Id="rId213" Type="http://schemas.openxmlformats.org/officeDocument/2006/relationships/ctrlProp" Target="../ctrlProps/ctrlProp645.xml"/><Relationship Id="rId234" Type="http://schemas.openxmlformats.org/officeDocument/2006/relationships/ctrlProp" Target="../ctrlProps/ctrlProp666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461.xml"/><Relationship Id="rId40" Type="http://schemas.openxmlformats.org/officeDocument/2006/relationships/ctrlProp" Target="../ctrlProps/ctrlProp472.xml"/><Relationship Id="rId115" Type="http://schemas.openxmlformats.org/officeDocument/2006/relationships/ctrlProp" Target="../ctrlProps/ctrlProp547.xml"/><Relationship Id="rId136" Type="http://schemas.openxmlformats.org/officeDocument/2006/relationships/ctrlProp" Target="../ctrlProps/ctrlProp568.xml"/><Relationship Id="rId157" Type="http://schemas.openxmlformats.org/officeDocument/2006/relationships/ctrlProp" Target="../ctrlProps/ctrlProp589.xml"/><Relationship Id="rId178" Type="http://schemas.openxmlformats.org/officeDocument/2006/relationships/ctrlProp" Target="../ctrlProps/ctrlProp610.xml"/><Relationship Id="rId61" Type="http://schemas.openxmlformats.org/officeDocument/2006/relationships/ctrlProp" Target="../ctrlProps/ctrlProp493.xml"/><Relationship Id="rId82" Type="http://schemas.openxmlformats.org/officeDocument/2006/relationships/ctrlProp" Target="../ctrlProps/ctrlProp514.xml"/><Relationship Id="rId199" Type="http://schemas.openxmlformats.org/officeDocument/2006/relationships/ctrlProp" Target="../ctrlProps/ctrlProp631.xml"/><Relationship Id="rId203" Type="http://schemas.openxmlformats.org/officeDocument/2006/relationships/ctrlProp" Target="../ctrlProps/ctrlProp635.xml"/><Relationship Id="rId19" Type="http://schemas.openxmlformats.org/officeDocument/2006/relationships/ctrlProp" Target="../ctrlProps/ctrlProp451.xml"/><Relationship Id="rId224" Type="http://schemas.openxmlformats.org/officeDocument/2006/relationships/ctrlProp" Target="../ctrlProps/ctrlProp656.xml"/><Relationship Id="rId30" Type="http://schemas.openxmlformats.org/officeDocument/2006/relationships/ctrlProp" Target="../ctrlProps/ctrlProp462.xml"/><Relationship Id="rId105" Type="http://schemas.openxmlformats.org/officeDocument/2006/relationships/ctrlProp" Target="../ctrlProps/ctrlProp537.xml"/><Relationship Id="rId126" Type="http://schemas.openxmlformats.org/officeDocument/2006/relationships/ctrlProp" Target="../ctrlProps/ctrlProp558.xml"/><Relationship Id="rId147" Type="http://schemas.openxmlformats.org/officeDocument/2006/relationships/ctrlProp" Target="../ctrlProps/ctrlProp579.xml"/><Relationship Id="rId168" Type="http://schemas.openxmlformats.org/officeDocument/2006/relationships/ctrlProp" Target="../ctrlProps/ctrlProp600.xml"/><Relationship Id="rId51" Type="http://schemas.openxmlformats.org/officeDocument/2006/relationships/ctrlProp" Target="../ctrlProps/ctrlProp483.xml"/><Relationship Id="rId72" Type="http://schemas.openxmlformats.org/officeDocument/2006/relationships/ctrlProp" Target="../ctrlProps/ctrlProp504.xml"/><Relationship Id="rId93" Type="http://schemas.openxmlformats.org/officeDocument/2006/relationships/ctrlProp" Target="../ctrlProps/ctrlProp525.xml"/><Relationship Id="rId189" Type="http://schemas.openxmlformats.org/officeDocument/2006/relationships/ctrlProp" Target="../ctrlProps/ctrlProp62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646.xml"/><Relationship Id="rId235" Type="http://schemas.openxmlformats.org/officeDocument/2006/relationships/ctrlProp" Target="../ctrlProps/ctrlProp667.xml"/><Relationship Id="rId116" Type="http://schemas.openxmlformats.org/officeDocument/2006/relationships/ctrlProp" Target="../ctrlProps/ctrlProp548.xml"/><Relationship Id="rId137" Type="http://schemas.openxmlformats.org/officeDocument/2006/relationships/ctrlProp" Target="../ctrlProps/ctrlProp569.xml"/><Relationship Id="rId158" Type="http://schemas.openxmlformats.org/officeDocument/2006/relationships/ctrlProp" Target="../ctrlProps/ctrlProp59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view="pageBreakPreview" topLeftCell="A7" zoomScaleNormal="100" zoomScaleSheetLayoutView="110" workbookViewId="0">
      <selection activeCell="U9" sqref="U9:AB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101"/>
      <c r="B1" s="6"/>
      <c r="I1" s="108" t="s">
        <v>33</v>
      </c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3"/>
    </row>
    <row r="2" spans="1:29" ht="37.5" customHeight="1" x14ac:dyDescent="0.2">
      <c r="A2" s="101"/>
      <c r="B2" s="6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107" t="s">
        <v>1</v>
      </c>
      <c r="B4" s="107"/>
      <c r="C4" s="107"/>
      <c r="D4" s="107"/>
      <c r="E4" s="107"/>
      <c r="F4" s="110"/>
      <c r="G4" s="104" t="s">
        <v>53</v>
      </c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123" t="s">
        <v>42</v>
      </c>
      <c r="V4" s="124"/>
      <c r="W4" s="124"/>
      <c r="X4" s="124"/>
      <c r="Y4" s="124"/>
      <c r="Z4" s="124"/>
      <c r="AA4" s="124"/>
      <c r="AB4" s="125"/>
      <c r="AC4" s="3"/>
    </row>
    <row r="5" spans="1:29" ht="24" customHeight="1" x14ac:dyDescent="0.2">
      <c r="A5" s="107" t="s">
        <v>5</v>
      </c>
      <c r="B5" s="107"/>
      <c r="C5" s="107"/>
      <c r="D5" s="107"/>
      <c r="E5" s="107"/>
      <c r="F5" s="110"/>
      <c r="G5" s="106" t="s">
        <v>44</v>
      </c>
      <c r="H5" s="106"/>
      <c r="I5" s="106"/>
      <c r="J5" s="106"/>
      <c r="K5" s="106"/>
      <c r="L5" s="106"/>
      <c r="M5" s="106"/>
      <c r="N5" s="107" t="s">
        <v>9</v>
      </c>
      <c r="O5" s="107"/>
      <c r="P5" s="107"/>
      <c r="Q5" s="107"/>
      <c r="R5" s="107"/>
      <c r="S5" s="107"/>
      <c r="T5" s="107"/>
      <c r="U5" s="113">
        <v>44414</v>
      </c>
      <c r="V5" s="114"/>
      <c r="W5" s="115"/>
      <c r="X5" s="24" t="s">
        <v>30</v>
      </c>
      <c r="Y5" s="116">
        <v>0.33333333333333331</v>
      </c>
      <c r="Z5" s="117"/>
      <c r="AA5" s="117"/>
      <c r="AB5" s="117"/>
    </row>
    <row r="6" spans="1:29" ht="24" customHeight="1" x14ac:dyDescent="0.2">
      <c r="A6" s="111" t="s">
        <v>7</v>
      </c>
      <c r="B6" s="111"/>
      <c r="C6" s="111"/>
      <c r="D6" s="111"/>
      <c r="E6" s="111"/>
      <c r="F6" s="112"/>
      <c r="G6" s="106" t="s">
        <v>43</v>
      </c>
      <c r="H6" s="106"/>
      <c r="I6" s="106"/>
      <c r="J6" s="106"/>
      <c r="K6" s="106"/>
      <c r="L6" s="106"/>
      <c r="M6" s="106"/>
      <c r="N6" s="118" t="s">
        <v>0</v>
      </c>
      <c r="O6" s="118"/>
      <c r="P6" s="118"/>
      <c r="Q6" s="118"/>
      <c r="R6" s="118"/>
      <c r="S6" s="118"/>
      <c r="T6" s="118"/>
      <c r="U6" s="113"/>
      <c r="V6" s="114"/>
      <c r="W6" s="115"/>
      <c r="X6" s="24" t="s">
        <v>30</v>
      </c>
      <c r="Y6" s="116"/>
      <c r="Z6" s="117"/>
      <c r="AA6" s="117"/>
      <c r="AB6" s="117"/>
    </row>
    <row r="7" spans="1:29" ht="24" customHeight="1" x14ac:dyDescent="0.2">
      <c r="A7" s="107" t="s">
        <v>10</v>
      </c>
      <c r="B7" s="107"/>
      <c r="C7" s="107"/>
      <c r="D7" s="107"/>
      <c r="E7" s="107"/>
      <c r="F7" s="110"/>
      <c r="G7" s="106" t="s">
        <v>45</v>
      </c>
      <c r="H7" s="106"/>
      <c r="I7" s="106"/>
      <c r="J7" s="106"/>
      <c r="K7" s="106"/>
      <c r="L7" s="106"/>
      <c r="M7" s="106"/>
      <c r="N7" s="127" t="s">
        <v>35</v>
      </c>
      <c r="O7" s="127"/>
      <c r="P7" s="127"/>
      <c r="Q7" s="127"/>
      <c r="R7" s="127"/>
      <c r="S7" s="127"/>
      <c r="T7" s="127"/>
      <c r="U7" s="121" t="s">
        <v>41</v>
      </c>
      <c r="V7" s="121"/>
      <c r="W7" s="121"/>
      <c r="X7" s="121"/>
      <c r="Y7" s="121"/>
      <c r="Z7" s="121"/>
      <c r="AA7" s="121"/>
      <c r="AB7" s="121"/>
    </row>
    <row r="8" spans="1:29" ht="24" customHeight="1" x14ac:dyDescent="0.2">
      <c r="A8" s="111" t="s">
        <v>2</v>
      </c>
      <c r="B8" s="111"/>
      <c r="C8" s="111"/>
      <c r="D8" s="111"/>
      <c r="E8" s="111"/>
      <c r="F8" s="112"/>
      <c r="G8" s="122" t="s">
        <v>46</v>
      </c>
      <c r="H8" s="106"/>
      <c r="I8" s="106"/>
      <c r="J8" s="106"/>
      <c r="K8" s="106"/>
      <c r="L8" s="106"/>
      <c r="M8" s="106"/>
      <c r="N8" s="127" t="s">
        <v>4</v>
      </c>
      <c r="O8" s="127"/>
      <c r="P8" s="127"/>
      <c r="Q8" s="127"/>
      <c r="R8" s="127"/>
      <c r="S8" s="127"/>
      <c r="T8" s="127"/>
      <c r="U8" s="121" t="s">
        <v>41</v>
      </c>
      <c r="V8" s="121"/>
      <c r="W8" s="121"/>
      <c r="X8" s="121"/>
      <c r="Y8" s="121"/>
      <c r="Z8" s="121"/>
      <c r="AA8" s="121"/>
      <c r="AB8" s="121"/>
    </row>
    <row r="9" spans="1:29" ht="24" customHeight="1" x14ac:dyDescent="0.2">
      <c r="A9" s="111" t="s">
        <v>6</v>
      </c>
      <c r="B9" s="111"/>
      <c r="C9" s="111"/>
      <c r="D9" s="111"/>
      <c r="E9" s="111"/>
      <c r="F9" s="112"/>
      <c r="G9" s="119" t="s">
        <v>47</v>
      </c>
      <c r="H9" s="119"/>
      <c r="I9" s="119"/>
      <c r="J9" s="119"/>
      <c r="K9" s="119"/>
      <c r="L9" s="119"/>
      <c r="M9" s="119"/>
      <c r="N9" s="127" t="s">
        <v>31</v>
      </c>
      <c r="O9" s="127"/>
      <c r="P9" s="127"/>
      <c r="Q9" s="127"/>
      <c r="R9" s="127"/>
      <c r="S9" s="127"/>
      <c r="T9" s="127"/>
      <c r="U9" s="120" t="s">
        <v>55</v>
      </c>
      <c r="V9" s="120"/>
      <c r="W9" s="120"/>
      <c r="X9" s="120"/>
      <c r="Y9" s="120"/>
      <c r="Z9" s="120"/>
      <c r="AA9" s="120"/>
      <c r="AB9" s="120"/>
    </row>
    <row r="10" spans="1:29" ht="6" customHeight="1" x14ac:dyDescent="0.2">
      <c r="U10" s="8"/>
      <c r="V10" s="8"/>
      <c r="W10" s="8"/>
    </row>
    <row r="11" spans="1:29" ht="23.25" customHeight="1" x14ac:dyDescent="0.2">
      <c r="A11" s="128" t="s">
        <v>8</v>
      </c>
      <c r="B11" s="128"/>
      <c r="C11" s="128"/>
      <c r="D11" s="128"/>
      <c r="E11" s="128"/>
      <c r="F11" s="128"/>
      <c r="G11" s="128"/>
      <c r="H11" s="128"/>
      <c r="I11" s="128"/>
      <c r="J11" s="128"/>
      <c r="K11" s="128"/>
      <c r="L11" s="128"/>
      <c r="M11" s="19"/>
      <c r="N11" s="127" t="s">
        <v>12</v>
      </c>
      <c r="O11" s="127"/>
      <c r="P11" s="127"/>
      <c r="Q11" s="127"/>
      <c r="R11" s="127"/>
      <c r="S11" s="106"/>
      <c r="T11" s="106"/>
      <c r="U11" s="127" t="s">
        <v>13</v>
      </c>
      <c r="V11" s="127"/>
      <c r="W11" s="127"/>
      <c r="X11" s="127"/>
      <c r="Y11" s="127"/>
      <c r="Z11" s="127"/>
      <c r="AA11" s="123"/>
      <c r="AB11" s="125"/>
    </row>
    <row r="12" spans="1:29" ht="6" customHeight="1" x14ac:dyDescent="0.2"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</row>
    <row r="13" spans="1:29" ht="36" customHeight="1" x14ac:dyDescent="0.2">
      <c r="A13" s="43" t="s">
        <v>40</v>
      </c>
      <c r="B13" s="98"/>
      <c r="C13" s="98"/>
      <c r="D13" s="98"/>
      <c r="E13" s="98"/>
      <c r="F13" s="25"/>
      <c r="G13" s="93" t="s">
        <v>14</v>
      </c>
      <c r="H13" s="93"/>
      <c r="I13" s="93"/>
      <c r="J13" s="126" t="s">
        <v>41</v>
      </c>
      <c r="K13" s="126"/>
      <c r="L13" s="93" t="s">
        <v>15</v>
      </c>
      <c r="M13" s="93"/>
      <c r="N13" s="93"/>
      <c r="O13" s="123" t="s">
        <v>41</v>
      </c>
      <c r="P13" s="124"/>
      <c r="Q13" s="125"/>
      <c r="R13" s="93" t="s">
        <v>16</v>
      </c>
      <c r="S13" s="93"/>
      <c r="T13" s="93"/>
      <c r="U13" s="126" t="s">
        <v>41</v>
      </c>
      <c r="V13" s="126"/>
      <c r="W13" s="93" t="s">
        <v>17</v>
      </c>
      <c r="X13" s="93"/>
      <c r="Y13" s="93"/>
      <c r="Z13" s="93"/>
      <c r="AA13" s="126" t="s">
        <v>41</v>
      </c>
      <c r="AB13" s="126"/>
    </row>
    <row r="14" spans="1:29" ht="27" customHeight="1" x14ac:dyDescent="0.2">
      <c r="A14" s="98" t="s">
        <v>3</v>
      </c>
      <c r="B14" s="98"/>
      <c r="C14" s="98"/>
      <c r="D14" s="98"/>
      <c r="E14" s="98"/>
      <c r="F14" s="25" t="s">
        <v>36</v>
      </c>
      <c r="G14" s="93" t="s">
        <v>18</v>
      </c>
      <c r="H14" s="93"/>
      <c r="I14" s="93"/>
      <c r="J14" s="93"/>
      <c r="K14" s="93"/>
      <c r="L14" s="93"/>
      <c r="M14" s="95">
        <v>678.6</v>
      </c>
      <c r="N14" s="96"/>
      <c r="O14" s="96"/>
      <c r="P14" s="96"/>
      <c r="Q14" s="97"/>
      <c r="R14" s="93" t="s">
        <v>19</v>
      </c>
      <c r="S14" s="93"/>
      <c r="T14" s="93"/>
      <c r="U14" s="93"/>
      <c r="V14" s="93"/>
      <c r="W14" s="94" t="s">
        <v>41</v>
      </c>
      <c r="X14" s="94"/>
      <c r="Y14" s="94"/>
      <c r="Z14" s="94"/>
      <c r="AA14" s="94"/>
      <c r="AB14" s="94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9" t="s">
        <v>20</v>
      </c>
      <c r="B17" s="90"/>
      <c r="C17" s="90"/>
      <c r="D17" s="90"/>
      <c r="E17" s="90"/>
      <c r="F17" s="91"/>
      <c r="G17" s="88" t="s">
        <v>21</v>
      </c>
      <c r="H17" s="88"/>
      <c r="I17" s="88"/>
      <c r="J17" s="88" t="s">
        <v>23</v>
      </c>
      <c r="K17" s="88"/>
      <c r="L17" s="88"/>
      <c r="M17" s="88" t="s">
        <v>24</v>
      </c>
      <c r="N17" s="88"/>
      <c r="O17" s="88"/>
      <c r="P17" s="88" t="s">
        <v>22</v>
      </c>
      <c r="Q17" s="88"/>
      <c r="R17" s="88"/>
      <c r="S17" s="88"/>
      <c r="T17" s="88" t="s">
        <v>25</v>
      </c>
      <c r="U17" s="88"/>
      <c r="V17" s="88"/>
      <c r="W17" s="88" t="s">
        <v>26</v>
      </c>
      <c r="X17" s="88"/>
      <c r="Y17" s="88"/>
      <c r="Z17" s="88" t="s">
        <v>27</v>
      </c>
      <c r="AA17" s="88"/>
      <c r="AB17" s="88"/>
    </row>
    <row r="18" spans="1:28" ht="15" customHeight="1" x14ac:dyDescent="0.2">
      <c r="A18" s="92" t="s">
        <v>54</v>
      </c>
      <c r="B18" s="74"/>
      <c r="C18" s="74"/>
      <c r="D18" s="74"/>
      <c r="E18" s="74"/>
      <c r="F18" s="75"/>
      <c r="G18" s="16">
        <v>-5</v>
      </c>
      <c r="H18" s="16">
        <v>10</v>
      </c>
      <c r="I18" s="16"/>
      <c r="J18" s="49"/>
      <c r="K18" s="50"/>
      <c r="L18" s="50"/>
      <c r="M18" s="16"/>
      <c r="N18" s="16">
        <v>0</v>
      </c>
      <c r="O18" s="16"/>
      <c r="P18" s="51"/>
      <c r="Q18" s="51"/>
      <c r="R18" s="51"/>
      <c r="S18" s="51"/>
      <c r="T18" s="17"/>
      <c r="U18" s="16">
        <v>0</v>
      </c>
      <c r="V18" s="17"/>
      <c r="W18" s="51"/>
      <c r="X18" s="51"/>
      <c r="Y18" s="51"/>
      <c r="Z18" s="17"/>
      <c r="AA18" s="16">
        <v>0</v>
      </c>
      <c r="AB18" s="17"/>
    </row>
    <row r="19" spans="1:28" ht="15" customHeight="1" x14ac:dyDescent="0.2">
      <c r="A19" s="100" t="s">
        <v>57</v>
      </c>
      <c r="B19" s="74"/>
      <c r="C19" s="74"/>
      <c r="D19" s="74"/>
      <c r="E19" s="74"/>
      <c r="F19" s="75"/>
      <c r="G19" s="16"/>
      <c r="H19" s="16">
        <v>1</v>
      </c>
      <c r="I19" s="16"/>
      <c r="J19" s="50"/>
      <c r="K19" s="50"/>
      <c r="L19" s="50"/>
      <c r="M19" s="16"/>
      <c r="N19" s="16">
        <v>0</v>
      </c>
      <c r="O19" s="16"/>
      <c r="P19" s="51"/>
      <c r="Q19" s="51"/>
      <c r="R19" s="51"/>
      <c r="S19" s="51"/>
      <c r="T19" s="17"/>
      <c r="U19" s="16">
        <v>0</v>
      </c>
      <c r="V19" s="17"/>
      <c r="W19" s="51"/>
      <c r="X19" s="51"/>
      <c r="Y19" s="51"/>
      <c r="Z19" s="17"/>
      <c r="AA19" s="16">
        <v>0</v>
      </c>
      <c r="AB19" s="17"/>
    </row>
    <row r="20" spans="1:28" ht="15" customHeight="1" x14ac:dyDescent="0.2">
      <c r="A20" s="99" t="s">
        <v>59</v>
      </c>
      <c r="B20" s="74"/>
      <c r="C20" s="74"/>
      <c r="D20" s="74"/>
      <c r="E20" s="74"/>
      <c r="F20" s="75"/>
      <c r="G20" s="16"/>
      <c r="H20" s="16">
        <v>2</v>
      </c>
      <c r="I20" s="16"/>
      <c r="J20" s="50"/>
      <c r="K20" s="50"/>
      <c r="L20" s="50"/>
      <c r="M20" s="16"/>
      <c r="N20" s="16">
        <v>0</v>
      </c>
      <c r="O20" s="16"/>
      <c r="P20" s="51"/>
      <c r="Q20" s="51"/>
      <c r="R20" s="51"/>
      <c r="S20" s="51"/>
      <c r="T20" s="17"/>
      <c r="U20" s="16">
        <v>0</v>
      </c>
      <c r="V20" s="17"/>
      <c r="W20" s="51"/>
      <c r="X20" s="51"/>
      <c r="Y20" s="51"/>
      <c r="Z20" s="18"/>
      <c r="AA20" s="16">
        <v>0</v>
      </c>
      <c r="AB20" s="17"/>
    </row>
    <row r="21" spans="1:28" ht="15" customHeight="1" x14ac:dyDescent="0.2">
      <c r="A21" s="73"/>
      <c r="B21" s="74"/>
      <c r="C21" s="74"/>
      <c r="D21" s="74"/>
      <c r="E21" s="74"/>
      <c r="F21" s="75"/>
      <c r="G21" s="16"/>
      <c r="H21" s="16">
        <v>0</v>
      </c>
      <c r="I21" s="16"/>
      <c r="J21" s="50"/>
      <c r="K21" s="50"/>
      <c r="L21" s="50"/>
      <c r="M21" s="16"/>
      <c r="N21" s="16">
        <v>0</v>
      </c>
      <c r="O21" s="16"/>
      <c r="P21" s="51"/>
      <c r="Q21" s="51"/>
      <c r="R21" s="51"/>
      <c r="S21" s="51"/>
      <c r="T21" s="17"/>
      <c r="U21" s="16">
        <v>0</v>
      </c>
      <c r="V21" s="17"/>
      <c r="W21" s="50"/>
      <c r="X21" s="50"/>
      <c r="Y21" s="50"/>
      <c r="Z21" s="17"/>
      <c r="AA21" s="16">
        <v>0</v>
      </c>
      <c r="AB21" s="17"/>
    </row>
    <row r="22" spans="1:28" ht="15" customHeight="1" x14ac:dyDescent="0.2">
      <c r="A22" s="73"/>
      <c r="B22" s="74"/>
      <c r="C22" s="74"/>
      <c r="D22" s="74"/>
      <c r="E22" s="74"/>
      <c r="F22" s="75"/>
      <c r="G22" s="16"/>
      <c r="H22" s="16">
        <v>0</v>
      </c>
      <c r="I22" s="16"/>
      <c r="J22" s="50"/>
      <c r="K22" s="50"/>
      <c r="L22" s="50"/>
      <c r="M22" s="16"/>
      <c r="N22" s="16">
        <v>0</v>
      </c>
      <c r="O22" s="16"/>
      <c r="P22" s="51"/>
      <c r="Q22" s="51"/>
      <c r="R22" s="51"/>
      <c r="S22" s="51"/>
      <c r="T22" s="17"/>
      <c r="U22" s="16">
        <v>1</v>
      </c>
      <c r="V22" s="17"/>
      <c r="W22" s="50"/>
      <c r="X22" s="50"/>
      <c r="Y22" s="50"/>
      <c r="Z22" s="17"/>
      <c r="AA22" s="16">
        <v>0</v>
      </c>
      <c r="AB22" s="17"/>
    </row>
    <row r="23" spans="1:28" ht="15" customHeight="1" x14ac:dyDescent="0.2">
      <c r="A23" s="73"/>
      <c r="B23" s="74"/>
      <c r="C23" s="74"/>
      <c r="D23" s="74"/>
      <c r="E23" s="74"/>
      <c r="F23" s="75"/>
      <c r="G23" s="16"/>
      <c r="H23" s="16">
        <v>0</v>
      </c>
      <c r="I23" s="16"/>
      <c r="J23" s="50"/>
      <c r="K23" s="50"/>
      <c r="L23" s="50"/>
      <c r="M23" s="16"/>
      <c r="N23" s="16">
        <v>0</v>
      </c>
      <c r="O23" s="16"/>
      <c r="P23" s="51"/>
      <c r="Q23" s="51"/>
      <c r="R23" s="51"/>
      <c r="S23" s="51"/>
      <c r="T23" s="17"/>
      <c r="U23" s="16">
        <v>0</v>
      </c>
      <c r="V23" s="17"/>
      <c r="W23" s="50"/>
      <c r="X23" s="50"/>
      <c r="Y23" s="50"/>
      <c r="Z23" s="17"/>
      <c r="AA23" s="16">
        <v>0</v>
      </c>
      <c r="AB23" s="17"/>
    </row>
    <row r="24" spans="1:28" ht="15" customHeight="1" x14ac:dyDescent="0.2">
      <c r="A24" s="73"/>
      <c r="B24" s="76"/>
      <c r="C24" s="76"/>
      <c r="D24" s="76"/>
      <c r="E24" s="76"/>
      <c r="F24" s="77"/>
      <c r="G24" s="16"/>
      <c r="H24" s="16">
        <v>0</v>
      </c>
      <c r="I24" s="16"/>
      <c r="J24" s="50"/>
      <c r="K24" s="50"/>
      <c r="L24" s="50"/>
      <c r="M24" s="16"/>
      <c r="N24" s="16">
        <v>0</v>
      </c>
      <c r="O24" s="16"/>
      <c r="P24" s="51"/>
      <c r="Q24" s="51"/>
      <c r="R24" s="51"/>
      <c r="S24" s="51"/>
      <c r="T24" s="17"/>
      <c r="U24" s="16">
        <v>0</v>
      </c>
      <c r="V24" s="17"/>
      <c r="W24" s="50"/>
      <c r="X24" s="50"/>
      <c r="Y24" s="50"/>
      <c r="Z24" s="17"/>
      <c r="AA24" s="16">
        <v>0</v>
      </c>
      <c r="AB24" s="17"/>
    </row>
    <row r="25" spans="1:28" ht="15" customHeight="1" x14ac:dyDescent="0.2">
      <c r="A25" s="73"/>
      <c r="B25" s="76"/>
      <c r="C25" s="76"/>
      <c r="D25" s="76"/>
      <c r="E25" s="76"/>
      <c r="F25" s="77"/>
      <c r="G25" s="16"/>
      <c r="H25" s="16">
        <v>0</v>
      </c>
      <c r="I25" s="16"/>
      <c r="J25" s="50"/>
      <c r="K25" s="50"/>
      <c r="L25" s="50"/>
      <c r="M25" s="16"/>
      <c r="N25" s="16">
        <v>0</v>
      </c>
      <c r="O25" s="16"/>
      <c r="P25" s="51"/>
      <c r="Q25" s="51"/>
      <c r="R25" s="51"/>
      <c r="S25" s="51"/>
      <c r="T25" s="17"/>
      <c r="U25" s="16">
        <v>0</v>
      </c>
      <c r="V25" s="17"/>
      <c r="W25" s="50"/>
      <c r="X25" s="50"/>
      <c r="Y25" s="50"/>
      <c r="Z25" s="17"/>
      <c r="AA25" s="16">
        <v>0</v>
      </c>
      <c r="AB25" s="17"/>
    </row>
    <row r="26" spans="1:28" ht="15" customHeight="1" x14ac:dyDescent="0.2">
      <c r="A26" s="87"/>
      <c r="B26" s="76"/>
      <c r="C26" s="76"/>
      <c r="D26" s="76"/>
      <c r="E26" s="76"/>
      <c r="F26" s="77"/>
      <c r="G26" s="16"/>
      <c r="H26" s="16">
        <v>0</v>
      </c>
      <c r="I26" s="16"/>
      <c r="J26" s="50"/>
      <c r="K26" s="50"/>
      <c r="L26" s="50"/>
      <c r="M26" s="16"/>
      <c r="N26" s="16">
        <v>0</v>
      </c>
      <c r="O26" s="16"/>
      <c r="P26" s="51"/>
      <c r="Q26" s="51"/>
      <c r="R26" s="51"/>
      <c r="S26" s="51"/>
      <c r="T26" s="17"/>
      <c r="U26" s="16">
        <v>0</v>
      </c>
      <c r="V26" s="17"/>
      <c r="W26" s="50"/>
      <c r="X26" s="50"/>
      <c r="Y26" s="50"/>
      <c r="Z26" s="17"/>
      <c r="AA26" s="16">
        <v>0</v>
      </c>
      <c r="AB26" s="17"/>
    </row>
    <row r="27" spans="1:28" ht="15" customHeight="1" x14ac:dyDescent="0.2">
      <c r="A27" s="81"/>
      <c r="B27" s="82"/>
      <c r="C27" s="82"/>
      <c r="D27" s="82"/>
      <c r="E27" s="82"/>
      <c r="F27" s="83"/>
      <c r="G27" s="16"/>
      <c r="H27" s="16">
        <v>0</v>
      </c>
      <c r="I27" s="16"/>
      <c r="J27" s="50"/>
      <c r="K27" s="50"/>
      <c r="L27" s="50"/>
      <c r="M27" s="16"/>
      <c r="N27" s="16">
        <v>0</v>
      </c>
      <c r="O27" s="16"/>
      <c r="P27" s="51"/>
      <c r="Q27" s="51"/>
      <c r="R27" s="51"/>
      <c r="S27" s="51"/>
      <c r="T27" s="17"/>
      <c r="U27" s="16">
        <v>0</v>
      </c>
      <c r="V27" s="17"/>
      <c r="W27" s="50"/>
      <c r="X27" s="50"/>
      <c r="Y27" s="50"/>
      <c r="Z27" s="17"/>
      <c r="AA27" s="16">
        <v>0</v>
      </c>
      <c r="AB27" s="17"/>
    </row>
    <row r="28" spans="1:28" ht="15" customHeight="1" x14ac:dyDescent="0.2">
      <c r="A28" s="70"/>
      <c r="B28" s="71"/>
      <c r="C28" s="71"/>
      <c r="D28" s="71"/>
      <c r="E28" s="71"/>
      <c r="F28" s="72"/>
      <c r="G28" s="16"/>
      <c r="H28" s="16">
        <v>0</v>
      </c>
      <c r="I28" s="16"/>
      <c r="J28" s="50"/>
      <c r="K28" s="50"/>
      <c r="L28" s="50"/>
      <c r="M28" s="16"/>
      <c r="N28" s="16">
        <v>0</v>
      </c>
      <c r="O28" s="16"/>
      <c r="P28" s="51"/>
      <c r="Q28" s="51"/>
      <c r="R28" s="51"/>
      <c r="S28" s="51"/>
      <c r="T28" s="17"/>
      <c r="U28" s="16">
        <v>0</v>
      </c>
      <c r="V28" s="17"/>
      <c r="W28" s="52"/>
      <c r="X28" s="53"/>
      <c r="Y28" s="53"/>
      <c r="Z28" s="17"/>
      <c r="AA28" s="16">
        <v>0</v>
      </c>
      <c r="AB28" s="17"/>
    </row>
    <row r="29" spans="1:28" ht="15" customHeight="1" x14ac:dyDescent="0.2">
      <c r="A29" s="70"/>
      <c r="B29" s="71"/>
      <c r="C29" s="71"/>
      <c r="D29" s="71"/>
      <c r="E29" s="71"/>
      <c r="F29" s="72"/>
      <c r="G29" s="16"/>
      <c r="H29" s="16">
        <v>0</v>
      </c>
      <c r="I29" s="16"/>
      <c r="J29" s="50"/>
      <c r="K29" s="50"/>
      <c r="L29" s="50"/>
      <c r="M29" s="16"/>
      <c r="N29" s="16">
        <v>0</v>
      </c>
      <c r="O29" s="16"/>
      <c r="P29" s="51"/>
      <c r="Q29" s="51"/>
      <c r="R29" s="51"/>
      <c r="S29" s="51"/>
      <c r="T29" s="17"/>
      <c r="U29" s="16">
        <v>0</v>
      </c>
      <c r="V29" s="17"/>
      <c r="W29" s="52"/>
      <c r="X29" s="53"/>
      <c r="Y29" s="53"/>
      <c r="Z29" s="17"/>
      <c r="AA29" s="16">
        <v>0</v>
      </c>
      <c r="AB29" s="17"/>
    </row>
    <row r="30" spans="1:28" ht="15" customHeight="1" x14ac:dyDescent="0.2">
      <c r="A30" s="70"/>
      <c r="B30" s="71"/>
      <c r="C30" s="71"/>
      <c r="D30" s="71"/>
      <c r="E30" s="71"/>
      <c r="F30" s="72"/>
      <c r="G30" s="16"/>
      <c r="H30" s="16">
        <v>0</v>
      </c>
      <c r="I30" s="16"/>
      <c r="J30" s="50"/>
      <c r="K30" s="50"/>
      <c r="L30" s="50"/>
      <c r="M30" s="16"/>
      <c r="N30" s="16">
        <v>0</v>
      </c>
      <c r="O30" s="16"/>
      <c r="P30" s="51"/>
      <c r="Q30" s="51"/>
      <c r="R30" s="51"/>
      <c r="S30" s="51"/>
      <c r="T30" s="17"/>
      <c r="U30" s="16">
        <v>0</v>
      </c>
      <c r="V30" s="17"/>
      <c r="W30" s="52"/>
      <c r="X30" s="53"/>
      <c r="Y30" s="53"/>
      <c r="Z30" s="17"/>
      <c r="AA30" s="16">
        <v>0</v>
      </c>
      <c r="AB30" s="17"/>
    </row>
    <row r="31" spans="1:28" ht="15" customHeight="1" x14ac:dyDescent="0.2">
      <c r="A31" s="84"/>
      <c r="B31" s="85"/>
      <c r="C31" s="85"/>
      <c r="D31" s="85"/>
      <c r="E31" s="85"/>
      <c r="F31" s="86"/>
      <c r="G31" s="16"/>
      <c r="H31" s="16">
        <v>0</v>
      </c>
      <c r="I31" s="16"/>
      <c r="J31" s="50"/>
      <c r="K31" s="50"/>
      <c r="L31" s="50"/>
      <c r="M31" s="16"/>
      <c r="N31" s="16">
        <v>0</v>
      </c>
      <c r="O31" s="16"/>
      <c r="P31" s="51"/>
      <c r="Q31" s="51"/>
      <c r="R31" s="51"/>
      <c r="S31" s="51"/>
      <c r="T31" s="17"/>
      <c r="U31" s="16">
        <v>0</v>
      </c>
      <c r="V31" s="17"/>
      <c r="W31" s="36"/>
      <c r="X31" s="37"/>
      <c r="Y31" s="38"/>
      <c r="Z31" s="17"/>
      <c r="AA31" s="16">
        <v>0</v>
      </c>
      <c r="AB31" s="17"/>
    </row>
    <row r="32" spans="1:28" ht="15" customHeight="1" x14ac:dyDescent="0.2">
      <c r="A32" s="84"/>
      <c r="B32" s="85"/>
      <c r="C32" s="85"/>
      <c r="D32" s="85"/>
      <c r="E32" s="85"/>
      <c r="F32" s="86"/>
      <c r="G32" s="16"/>
      <c r="H32" s="16">
        <v>0</v>
      </c>
      <c r="I32" s="16"/>
      <c r="J32" s="50"/>
      <c r="K32" s="50"/>
      <c r="L32" s="50"/>
      <c r="M32" s="16"/>
      <c r="N32" s="16">
        <v>0</v>
      </c>
      <c r="O32" s="16"/>
      <c r="P32" s="51"/>
      <c r="Q32" s="51"/>
      <c r="R32" s="51"/>
      <c r="S32" s="51"/>
      <c r="T32" s="17"/>
      <c r="U32" s="16">
        <v>0</v>
      </c>
      <c r="V32" s="17"/>
      <c r="W32" s="36"/>
      <c r="X32" s="37"/>
      <c r="Y32" s="38"/>
      <c r="Z32" s="17"/>
      <c r="AA32" s="16">
        <v>0</v>
      </c>
      <c r="AB32" s="17"/>
    </row>
    <row r="33" spans="1:28" ht="15" customHeight="1" x14ac:dyDescent="0.2">
      <c r="A33" s="78"/>
      <c r="B33" s="79"/>
      <c r="C33" s="79"/>
      <c r="D33" s="79"/>
      <c r="E33" s="79"/>
      <c r="F33" s="80"/>
      <c r="G33" s="16"/>
      <c r="H33" s="16">
        <v>0</v>
      </c>
      <c r="I33" s="16"/>
      <c r="J33" s="50"/>
      <c r="K33" s="50"/>
      <c r="L33" s="50"/>
      <c r="M33" s="16"/>
      <c r="N33" s="16">
        <v>0</v>
      </c>
      <c r="O33" s="16"/>
      <c r="P33" s="51"/>
      <c r="Q33" s="51"/>
      <c r="R33" s="51"/>
      <c r="S33" s="51"/>
      <c r="T33" s="17"/>
      <c r="U33" s="16">
        <v>0</v>
      </c>
      <c r="V33" s="17"/>
      <c r="W33" s="67"/>
      <c r="X33" s="68"/>
      <c r="Y33" s="69"/>
      <c r="Z33" s="17"/>
      <c r="AA33" s="16">
        <v>0</v>
      </c>
      <c r="AB33" s="17"/>
    </row>
    <row r="34" spans="1:28" ht="15" customHeight="1" x14ac:dyDescent="0.2">
      <c r="A34" s="78"/>
      <c r="B34" s="79"/>
      <c r="C34" s="79"/>
      <c r="D34" s="79"/>
      <c r="E34" s="79"/>
      <c r="F34" s="80"/>
      <c r="G34" s="16"/>
      <c r="H34" s="16">
        <v>0</v>
      </c>
      <c r="I34" s="16"/>
      <c r="J34" s="50"/>
      <c r="K34" s="50"/>
      <c r="L34" s="50"/>
      <c r="M34" s="16"/>
      <c r="N34" s="16">
        <v>0</v>
      </c>
      <c r="O34" s="16"/>
      <c r="P34" s="51"/>
      <c r="Q34" s="51"/>
      <c r="R34" s="51"/>
      <c r="S34" s="51"/>
      <c r="T34" s="17"/>
      <c r="U34" s="16">
        <v>0</v>
      </c>
      <c r="V34" s="17"/>
      <c r="W34" s="67"/>
      <c r="X34" s="68"/>
      <c r="Y34" s="69"/>
      <c r="Z34" s="17"/>
      <c r="AA34" s="16">
        <v>0</v>
      </c>
      <c r="AB34" s="17"/>
    </row>
    <row r="35" spans="1:28" ht="15" customHeight="1" x14ac:dyDescent="0.2">
      <c r="A35" s="54"/>
      <c r="B35" s="55"/>
      <c r="C35" s="55"/>
      <c r="D35" s="55"/>
      <c r="E35" s="55"/>
      <c r="F35" s="56"/>
      <c r="G35" s="16"/>
      <c r="H35" s="16">
        <v>0</v>
      </c>
      <c r="I35" s="16"/>
      <c r="J35" s="50"/>
      <c r="K35" s="50"/>
      <c r="L35" s="50"/>
      <c r="M35" s="16"/>
      <c r="N35" s="16">
        <v>0</v>
      </c>
      <c r="O35" s="16"/>
      <c r="P35" s="51"/>
      <c r="Q35" s="51"/>
      <c r="R35" s="51"/>
      <c r="S35" s="51"/>
      <c r="T35" s="17"/>
      <c r="U35" s="16">
        <v>0</v>
      </c>
      <c r="V35" s="17"/>
      <c r="W35" s="67"/>
      <c r="X35" s="68"/>
      <c r="Y35" s="69"/>
      <c r="Z35" s="17"/>
      <c r="AA35" s="16">
        <v>0</v>
      </c>
      <c r="AB35" s="17"/>
    </row>
    <row r="36" spans="1:28" ht="15" customHeight="1" x14ac:dyDescent="0.2">
      <c r="A36" s="57"/>
      <c r="B36" s="58"/>
      <c r="C36" s="58"/>
      <c r="D36" s="58"/>
      <c r="E36" s="58"/>
      <c r="F36" s="59"/>
      <c r="G36" s="16"/>
      <c r="H36" s="16">
        <v>0</v>
      </c>
      <c r="I36" s="16"/>
      <c r="J36" s="50"/>
      <c r="K36" s="50"/>
      <c r="L36" s="50"/>
      <c r="M36" s="16"/>
      <c r="N36" s="16">
        <v>0</v>
      </c>
      <c r="O36" s="16"/>
      <c r="P36" s="51"/>
      <c r="Q36" s="51"/>
      <c r="R36" s="51"/>
      <c r="S36" s="51"/>
      <c r="T36" s="17"/>
      <c r="U36" s="16">
        <v>0</v>
      </c>
      <c r="V36" s="17"/>
      <c r="W36" s="52"/>
      <c r="X36" s="53"/>
      <c r="Y36" s="53"/>
      <c r="Z36" s="17"/>
      <c r="AA36" s="16">
        <v>0</v>
      </c>
      <c r="AB36" s="17"/>
    </row>
    <row r="37" spans="1:28" ht="15" customHeight="1" x14ac:dyDescent="0.2">
      <c r="A37" s="48"/>
      <c r="B37" s="48"/>
      <c r="C37" s="48"/>
      <c r="D37" s="48"/>
      <c r="E37" s="48"/>
      <c r="F37" s="48"/>
      <c r="G37" s="16"/>
      <c r="H37" s="16">
        <v>0</v>
      </c>
      <c r="I37" s="16"/>
      <c r="J37" s="49"/>
      <c r="K37" s="50"/>
      <c r="L37" s="50"/>
      <c r="M37" s="16"/>
      <c r="N37" s="16">
        <v>0</v>
      </c>
      <c r="O37" s="16"/>
      <c r="P37" s="51"/>
      <c r="Q37" s="51"/>
      <c r="R37" s="51"/>
      <c r="S37" s="51"/>
      <c r="T37" s="17"/>
      <c r="U37" s="16">
        <v>0</v>
      </c>
      <c r="V37" s="17"/>
      <c r="W37" s="52"/>
      <c r="X37" s="53"/>
      <c r="Y37" s="53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0" t="s">
        <v>28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W39" s="43" t="s">
        <v>34</v>
      </c>
      <c r="X39" s="43"/>
      <c r="Y39" s="43"/>
      <c r="Z39" s="43"/>
      <c r="AA39" s="43"/>
      <c r="AB39" s="43"/>
    </row>
    <row r="40" spans="1:28" ht="22.5" customHeight="1" x14ac:dyDescent="0.2">
      <c r="A40" s="61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3"/>
      <c r="W40" s="39"/>
      <c r="X40" s="40"/>
      <c r="Y40" s="40"/>
      <c r="Z40" s="40"/>
      <c r="AA40" s="40"/>
      <c r="AB40" s="41"/>
    </row>
    <row r="41" spans="1:28" ht="26.25" customHeight="1" x14ac:dyDescent="0.2">
      <c r="A41" s="64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6"/>
      <c r="V41" s="44"/>
      <c r="W41" s="42" t="s">
        <v>29</v>
      </c>
      <c r="X41" s="43"/>
      <c r="Y41" s="43"/>
      <c r="Z41" s="43"/>
      <c r="AA41" s="43"/>
      <c r="AB41" s="43"/>
    </row>
    <row r="42" spans="1:28" ht="22.5" customHeight="1" x14ac:dyDescent="0.2">
      <c r="A42" s="64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6"/>
      <c r="V42" s="44"/>
      <c r="W42" s="45"/>
      <c r="X42" s="46"/>
      <c r="Y42" s="46"/>
      <c r="Z42" s="46"/>
      <c r="AA42" s="46"/>
      <c r="AB42" s="47"/>
    </row>
  </sheetData>
  <sheetProtection formatCells="0" insertRows="0" deleteRows="0" selectLockedCells="1" sort="0"/>
  <mergeCells count="142"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A20:F20"/>
    <mergeCell ref="J20:L20"/>
    <mergeCell ref="P20:S20"/>
    <mergeCell ref="W20:Y20"/>
    <mergeCell ref="P18:S18"/>
    <mergeCell ref="W18:Y18"/>
    <mergeCell ref="A19:F19"/>
    <mergeCell ref="J19:L19"/>
    <mergeCell ref="P19:S19"/>
    <mergeCell ref="W19:Y19"/>
    <mergeCell ref="A17:F17"/>
    <mergeCell ref="A18:F18"/>
    <mergeCell ref="J18:L18"/>
    <mergeCell ref="R14:V14"/>
    <mergeCell ref="W14:AB14"/>
    <mergeCell ref="M14:Q14"/>
    <mergeCell ref="A14:E14"/>
    <mergeCell ref="Z17:AB17"/>
    <mergeCell ref="G14:L14"/>
    <mergeCell ref="G17:I17"/>
    <mergeCell ref="J17:L17"/>
    <mergeCell ref="W21:Y21"/>
    <mergeCell ref="J22:L22"/>
    <mergeCell ref="P22:S22"/>
    <mergeCell ref="W22:Y22"/>
    <mergeCell ref="J23:L23"/>
    <mergeCell ref="P23:S23"/>
    <mergeCell ref="W23:Y23"/>
    <mergeCell ref="M17:O17"/>
    <mergeCell ref="P17:S17"/>
    <mergeCell ref="T17:V17"/>
    <mergeCell ref="W17:Y17"/>
    <mergeCell ref="W24:Y24"/>
    <mergeCell ref="J25:L25"/>
    <mergeCell ref="P25:S25"/>
    <mergeCell ref="W25:Y25"/>
    <mergeCell ref="A26:F26"/>
    <mergeCell ref="J26:L26"/>
    <mergeCell ref="P26:S26"/>
    <mergeCell ref="W26:Y26"/>
    <mergeCell ref="A24:F24"/>
    <mergeCell ref="W30:Y30"/>
    <mergeCell ref="A33:F33"/>
    <mergeCell ref="J33:L33"/>
    <mergeCell ref="P33:S33"/>
    <mergeCell ref="J34:L34"/>
    <mergeCell ref="P34:S34"/>
    <mergeCell ref="A31:F31"/>
    <mergeCell ref="J31:L31"/>
    <mergeCell ref="P31:S31"/>
    <mergeCell ref="A32:F32"/>
    <mergeCell ref="J32:L32"/>
    <mergeCell ref="P32:S32"/>
    <mergeCell ref="W33:Y33"/>
    <mergeCell ref="W34:Y34"/>
    <mergeCell ref="A23:F23"/>
    <mergeCell ref="A25:F25"/>
    <mergeCell ref="A21:F21"/>
    <mergeCell ref="A22:F22"/>
    <mergeCell ref="A34:F34"/>
    <mergeCell ref="A30:F30"/>
    <mergeCell ref="A27:F27"/>
    <mergeCell ref="J27:L27"/>
    <mergeCell ref="P27:S27"/>
    <mergeCell ref="J30:L30"/>
    <mergeCell ref="P30:S30"/>
    <mergeCell ref="J24:L24"/>
    <mergeCell ref="P24:S24"/>
    <mergeCell ref="J21:L21"/>
    <mergeCell ref="P21:S21"/>
    <mergeCell ref="W27:Y27"/>
    <mergeCell ref="A28:F28"/>
    <mergeCell ref="J28:L28"/>
    <mergeCell ref="P28:S28"/>
    <mergeCell ref="W28:Y28"/>
    <mergeCell ref="A29:F29"/>
    <mergeCell ref="J29:L29"/>
    <mergeCell ref="P29:S29"/>
    <mergeCell ref="W29:Y29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A36:F36"/>
    <mergeCell ref="J36:L36"/>
    <mergeCell ref="P36:S36"/>
    <mergeCell ref="W36:Y36"/>
    <mergeCell ref="A39:U39"/>
    <mergeCell ref="A40:U42"/>
    <mergeCell ref="W39:AB39"/>
    <mergeCell ref="W35:Y35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216" name="Button 21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217" name="Button 21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" r:id="rId218" name="Button 21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" r:id="rId219" name="Button 2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220" name="Button 217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221" name="Button 21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" r:id="rId222" name="Button 21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" r:id="rId223" name="Button 220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224" name="Button 2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225" name="Button 22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" r:id="rId226" name="Button 22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27" name="Button 22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28" name="Button 22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29" name="Button 22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30" name="Button 22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31" name="Button 22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32" name="Button 22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33" name="Button 23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34" name="Button 23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35" name="Button 23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36" name="Button 23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37" name="Button 23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38" name="Button 23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39" name="Button 23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40" name="Button 23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41" name="Button 23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42" name="Button 23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43" name="Button 24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44" name="Button 24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45" name="Button 24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46" name="Button 24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47" name="Button 24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48" name="Button 24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49" name="Button 24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50" name="Button 24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51" name="Button 24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52" name="Button 24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3" name="Button 25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54" name="Button 25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55" name="Button 25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56" name="Button 25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57" name="Button 25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58" name="Button 25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59" name="Button 25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60" name="Button 25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61" name="Button 25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62" name="Button 25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63" name="Button 26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64" name="Button 26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65" name="Button 26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66" name="Button 26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67" name="Button 26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68" name="Button 26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28</xdr:row>
                    <xdr:rowOff>9525</xdr:rowOff>
                  </from>
                  <to>
                    <xdr:col>7</xdr:col>
                    <xdr:colOff>9525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69" name="Button 26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29</xdr:row>
                    <xdr:rowOff>9525</xdr:rowOff>
                  </from>
                  <to>
                    <xdr:col>7</xdr:col>
                    <xdr:colOff>9525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70" name="Button 26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30</xdr:row>
                    <xdr:rowOff>9525</xdr:rowOff>
                  </from>
                  <to>
                    <xdr:col>7</xdr:col>
                    <xdr:colOff>9525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71" name="Button 26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31</xdr:row>
                    <xdr:rowOff>9525</xdr:rowOff>
                  </from>
                  <to>
                    <xdr:col>7</xdr:col>
                    <xdr:colOff>9525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72" name="Button 26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32</xdr:row>
                    <xdr:rowOff>9525</xdr:rowOff>
                  </from>
                  <to>
                    <xdr:col>7</xdr:col>
                    <xdr:colOff>9525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73" name="Button 27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33</xdr:row>
                    <xdr:rowOff>9525</xdr:rowOff>
                  </from>
                  <to>
                    <xdr:col>7</xdr:col>
                    <xdr:colOff>9525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74" name="Button 27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34</xdr:row>
                    <xdr:rowOff>9525</xdr:rowOff>
                  </from>
                  <to>
                    <xdr:col>7</xdr:col>
                    <xdr:colOff>9525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75" name="Button 27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35</xdr:row>
                    <xdr:rowOff>9525</xdr:rowOff>
                  </from>
                  <to>
                    <xdr:col>7</xdr:col>
                    <xdr:colOff>9525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76" name="Button 27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77" name="Button 27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78" name="Button 27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79" name="Button 27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80" name="Button 27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81" name="Button 27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82" name="Button 27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83" name="Button 28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84" name="Button 28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85" name="Button 28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86" name="Button 283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87" name="Button 28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88" name="Button 285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89" name="Button 28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90" name="Button 28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91" name="Button 28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92" name="Button 28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93" name="Button 290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94" name="Button 291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95" name="Button 292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96" name="Button 293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297" name="Button 29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298" name="Button 29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299" name="Button 29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300" name="Button 29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301" name="Button 298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302" name="Button 29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303" name="Button 300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304" name="Button 301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305" name="Button 30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306" name="Button 30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307" name="Button 30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308" name="Button 30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309" name="Button 30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310" name="Button 30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311" name="Button 30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312" name="Button 30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313" name="Button 31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314" name="Button 31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315" name="Button 31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" r:id="rId316" name="Button 31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317" name="Button 31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318" name="Button 31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319" name="Button 31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320" name="Button 31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321" name="Button 31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322" name="Button 31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323" name="Button 32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" r:id="rId324" name="Button 3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" r:id="rId325" name="Button 32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" r:id="rId326" name="Button 32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" r:id="rId327" name="Button 32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" r:id="rId328" name="Button 325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" r:id="rId329" name="Button 326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330" name="Button 32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" r:id="rId331" name="Button 32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" r:id="rId332" name="Button 32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" r:id="rId333" name="Button 33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" r:id="rId334" name="Button 33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" r:id="rId335" name="Button 33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336" name="Button 33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337" name="Button 33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" r:id="rId338" name="Button 33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" r:id="rId339" name="Button 33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" r:id="rId340" name="Button 33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" r:id="rId341" name="Button 33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" r:id="rId342" name="Button 33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" r:id="rId343" name="Button 34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" r:id="rId344" name="Button 34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0" r:id="rId345" name="Button 34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" r:id="rId346" name="Button 34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2" r:id="rId347" name="Button 34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3" r:id="rId348" name="Button 3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" r:id="rId349" name="Button 34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" r:id="rId350" name="Button 3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" r:id="rId351" name="Button 34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" r:id="rId352" name="Button 34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" r:id="rId353" name="Button 35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9" r:id="rId354" name="Button 351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0" r:id="rId355" name="Button 352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1" r:id="rId356" name="Button 35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2" r:id="rId357" name="Button 35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" r:id="rId358" name="Button 35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" r:id="rId359" name="Button 35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" r:id="rId360" name="Button 35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" r:id="rId361" name="Button 35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" r:id="rId362" name="Button 35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" r:id="rId363" name="Button 36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" r:id="rId364" name="Button 36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" r:id="rId365" name="Button 36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" r:id="rId366" name="Button 363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" r:id="rId367" name="Button 36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" r:id="rId368" name="Button 365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" r:id="rId369" name="Button 36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" r:id="rId370" name="Button 36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" r:id="rId371" name="Button 36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7" r:id="rId372" name="Button 36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8" r:id="rId373" name="Button 37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" r:id="rId374" name="Button 371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0" r:id="rId375" name="Button 37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" r:id="rId376" name="Button 373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2" r:id="rId377" name="Button 37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3" r:id="rId378" name="Button 37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" r:id="rId379" name="Button 37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" r:id="rId380" name="Button 37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" r:id="rId381" name="Button 37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" r:id="rId382" name="Button 37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8" r:id="rId383" name="Button 38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9" r:id="rId384" name="Button 38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0" r:id="rId385" name="Button 38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1" r:id="rId386" name="Button 38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2" r:id="rId387" name="Button 38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3" r:id="rId388" name="Button 38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4" r:id="rId389" name="Button 38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5" r:id="rId390" name="Button 38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6" r:id="rId391" name="Button 38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" r:id="rId392" name="Button 38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" r:id="rId393" name="Button 39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9" r:id="rId394" name="Button 39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0" r:id="rId395" name="Button 39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1" r:id="rId396" name="Button 39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2" r:id="rId397" name="Button 39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" r:id="rId398" name="Button 39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" r:id="rId399" name="Button 39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" r:id="rId400" name="Button 39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" r:id="rId401" name="Button 39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" r:id="rId402" name="Button 39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" r:id="rId403" name="Button 40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" r:id="rId404" name="Button 40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" r:id="rId405" name="Button 402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" r:id="rId406" name="Button 403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" r:id="rId407" name="Button 40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" r:id="rId408" name="Button 40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" r:id="rId409" name="Button 40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" r:id="rId410" name="Button 40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" r:id="rId411" name="Button 408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" r:id="rId412" name="Button 40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" r:id="rId413" name="Button 410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" r:id="rId414" name="Button 411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" r:id="rId415" name="Button 41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" r:id="rId416" name="Button 41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" r:id="rId417" name="Button 41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" r:id="rId418" name="Button 415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" r:id="rId419" name="Button 4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" r:id="rId420" name="Button 41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" r:id="rId421" name="Button 41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" r:id="rId422" name="Button 419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" r:id="rId423" name="Button 42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" r:id="rId424" name="Button 42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" r:id="rId425" name="Button 42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" r:id="rId426" name="Button 42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" r:id="rId427" name="Button 42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" r:id="rId428" name="Button 42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" r:id="rId429" name="Button 42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" r:id="rId430" name="Button 427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" r:id="rId431" name="Button 42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" r:id="rId432" name="Button 42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" r:id="rId433" name="Button 43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" r:id="rId434" name="Button 43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" r:id="rId435" name="Button 43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" r:id="rId436" name="Button 43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" r:id="rId437" name="Button 43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" r:id="rId438" name="Button 43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AC42"/>
  <sheetViews>
    <sheetView showGridLines="0" tabSelected="1" view="pageBreakPreview" topLeftCell="A13" zoomScaleNormal="100" zoomScaleSheetLayoutView="110" workbookViewId="0">
      <selection activeCell="A24" sqref="A24:F24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101"/>
      <c r="B1" s="26"/>
      <c r="I1" s="108" t="s">
        <v>33</v>
      </c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3"/>
    </row>
    <row r="2" spans="1:29" ht="37.5" customHeight="1" x14ac:dyDescent="0.2">
      <c r="A2" s="101"/>
      <c r="B2" s="26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107" t="s">
        <v>1</v>
      </c>
      <c r="B4" s="107"/>
      <c r="C4" s="107"/>
      <c r="D4" s="107"/>
      <c r="E4" s="107"/>
      <c r="F4" s="110"/>
      <c r="G4" s="104" t="s">
        <v>53</v>
      </c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123" t="s">
        <v>42</v>
      </c>
      <c r="V4" s="124"/>
      <c r="W4" s="124"/>
      <c r="X4" s="124"/>
      <c r="Y4" s="124"/>
      <c r="Z4" s="124"/>
      <c r="AA4" s="124"/>
      <c r="AB4" s="125"/>
      <c r="AC4" s="3"/>
    </row>
    <row r="5" spans="1:29" ht="24" customHeight="1" x14ac:dyDescent="0.2">
      <c r="A5" s="107" t="s">
        <v>5</v>
      </c>
      <c r="B5" s="107"/>
      <c r="C5" s="107"/>
      <c r="D5" s="107"/>
      <c r="E5" s="107"/>
      <c r="F5" s="110"/>
      <c r="G5" s="106" t="s">
        <v>44</v>
      </c>
      <c r="H5" s="106"/>
      <c r="I5" s="106"/>
      <c r="J5" s="106"/>
      <c r="K5" s="106"/>
      <c r="L5" s="106"/>
      <c r="M5" s="106"/>
      <c r="N5" s="107" t="s">
        <v>9</v>
      </c>
      <c r="O5" s="107"/>
      <c r="P5" s="107"/>
      <c r="Q5" s="107"/>
      <c r="R5" s="107"/>
      <c r="S5" s="107"/>
      <c r="T5" s="107"/>
      <c r="U5" s="113">
        <v>44407</v>
      </c>
      <c r="V5" s="114"/>
      <c r="W5" s="115"/>
      <c r="X5" s="24" t="s">
        <v>30</v>
      </c>
      <c r="Y5" s="116">
        <v>0.45833333333333331</v>
      </c>
      <c r="Z5" s="117"/>
      <c r="AA5" s="117"/>
      <c r="AB5" s="117"/>
    </row>
    <row r="6" spans="1:29" ht="24" customHeight="1" x14ac:dyDescent="0.2">
      <c r="A6" s="111" t="s">
        <v>7</v>
      </c>
      <c r="B6" s="111"/>
      <c r="C6" s="111"/>
      <c r="D6" s="111"/>
      <c r="E6" s="111"/>
      <c r="F6" s="112"/>
      <c r="G6" s="106" t="s">
        <v>43</v>
      </c>
      <c r="H6" s="106"/>
      <c r="I6" s="106"/>
      <c r="J6" s="106"/>
      <c r="K6" s="106"/>
      <c r="L6" s="106"/>
      <c r="M6" s="106"/>
      <c r="N6" s="118" t="s">
        <v>0</v>
      </c>
      <c r="O6" s="118"/>
      <c r="P6" s="118"/>
      <c r="Q6" s="118"/>
      <c r="R6" s="118"/>
      <c r="S6" s="118"/>
      <c r="T6" s="118"/>
      <c r="U6" s="113"/>
      <c r="V6" s="114"/>
      <c r="W6" s="115"/>
      <c r="X6" s="24" t="s">
        <v>30</v>
      </c>
      <c r="Y6" s="116"/>
      <c r="Z6" s="117"/>
      <c r="AA6" s="117"/>
      <c r="AB6" s="117"/>
    </row>
    <row r="7" spans="1:29" ht="24" customHeight="1" x14ac:dyDescent="0.2">
      <c r="A7" s="107" t="s">
        <v>10</v>
      </c>
      <c r="B7" s="107"/>
      <c r="C7" s="107"/>
      <c r="D7" s="107"/>
      <c r="E7" s="107"/>
      <c r="F7" s="110"/>
      <c r="G7" s="106" t="s">
        <v>45</v>
      </c>
      <c r="H7" s="106"/>
      <c r="I7" s="106"/>
      <c r="J7" s="106"/>
      <c r="K7" s="106"/>
      <c r="L7" s="106"/>
      <c r="M7" s="106"/>
      <c r="N7" s="127" t="s">
        <v>35</v>
      </c>
      <c r="O7" s="127"/>
      <c r="P7" s="127"/>
      <c r="Q7" s="127"/>
      <c r="R7" s="127"/>
      <c r="S7" s="127"/>
      <c r="T7" s="127"/>
      <c r="U7" s="121" t="s">
        <v>41</v>
      </c>
      <c r="V7" s="121"/>
      <c r="W7" s="121"/>
      <c r="X7" s="121"/>
      <c r="Y7" s="121"/>
      <c r="Z7" s="121"/>
      <c r="AA7" s="121"/>
      <c r="AB7" s="121"/>
    </row>
    <row r="8" spans="1:29" ht="24" customHeight="1" x14ac:dyDescent="0.2">
      <c r="A8" s="111" t="s">
        <v>2</v>
      </c>
      <c r="B8" s="111"/>
      <c r="C8" s="111"/>
      <c r="D8" s="111"/>
      <c r="E8" s="111"/>
      <c r="F8" s="112"/>
      <c r="G8" s="122" t="s">
        <v>46</v>
      </c>
      <c r="H8" s="106"/>
      <c r="I8" s="106"/>
      <c r="J8" s="106"/>
      <c r="K8" s="106"/>
      <c r="L8" s="106"/>
      <c r="M8" s="106"/>
      <c r="N8" s="127" t="s">
        <v>4</v>
      </c>
      <c r="O8" s="127"/>
      <c r="P8" s="127"/>
      <c r="Q8" s="127"/>
      <c r="R8" s="127"/>
      <c r="S8" s="127"/>
      <c r="T8" s="127"/>
      <c r="U8" s="121" t="s">
        <v>41</v>
      </c>
      <c r="V8" s="121"/>
      <c r="W8" s="121"/>
      <c r="X8" s="121"/>
      <c r="Y8" s="121"/>
      <c r="Z8" s="121"/>
      <c r="AA8" s="121"/>
      <c r="AB8" s="121"/>
    </row>
    <row r="9" spans="1:29" ht="24" customHeight="1" x14ac:dyDescent="0.2">
      <c r="A9" s="111" t="s">
        <v>6</v>
      </c>
      <c r="B9" s="111"/>
      <c r="C9" s="111"/>
      <c r="D9" s="111"/>
      <c r="E9" s="111"/>
      <c r="F9" s="112"/>
      <c r="G9" s="119" t="s">
        <v>47</v>
      </c>
      <c r="H9" s="119"/>
      <c r="I9" s="119"/>
      <c r="J9" s="119"/>
      <c r="K9" s="119"/>
      <c r="L9" s="119"/>
      <c r="M9" s="119"/>
      <c r="N9" s="127" t="s">
        <v>31</v>
      </c>
      <c r="O9" s="127"/>
      <c r="P9" s="127"/>
      <c r="Q9" s="127"/>
      <c r="R9" s="127"/>
      <c r="S9" s="127"/>
      <c r="T9" s="127"/>
      <c r="U9" s="120" t="s">
        <v>55</v>
      </c>
      <c r="V9" s="120"/>
      <c r="W9" s="120"/>
      <c r="X9" s="120"/>
      <c r="Y9" s="120"/>
      <c r="Z9" s="120"/>
      <c r="AA9" s="120"/>
      <c r="AB9" s="120"/>
    </row>
    <row r="10" spans="1:29" ht="6" customHeight="1" x14ac:dyDescent="0.2">
      <c r="U10" s="8"/>
      <c r="V10" s="8"/>
      <c r="W10" s="8"/>
    </row>
    <row r="11" spans="1:29" ht="23.25" customHeight="1" x14ac:dyDescent="0.2">
      <c r="A11" s="128" t="s">
        <v>8</v>
      </c>
      <c r="B11" s="128"/>
      <c r="C11" s="128"/>
      <c r="D11" s="128"/>
      <c r="E11" s="128"/>
      <c r="F11" s="128"/>
      <c r="G11" s="128"/>
      <c r="H11" s="128"/>
      <c r="I11" s="128"/>
      <c r="J11" s="128"/>
      <c r="K11" s="128"/>
      <c r="L11" s="128"/>
      <c r="M11" s="19"/>
      <c r="N11" s="127" t="s">
        <v>12</v>
      </c>
      <c r="O11" s="127"/>
      <c r="P11" s="127"/>
      <c r="Q11" s="127"/>
      <c r="R11" s="127"/>
      <c r="S11" s="106"/>
      <c r="T11" s="106"/>
      <c r="U11" s="127" t="s">
        <v>13</v>
      </c>
      <c r="V11" s="127"/>
      <c r="W11" s="127"/>
      <c r="X11" s="127"/>
      <c r="Y11" s="127"/>
      <c r="Z11" s="127"/>
      <c r="AA11" s="123"/>
      <c r="AB11" s="125"/>
    </row>
    <row r="12" spans="1:29" ht="6" customHeight="1" x14ac:dyDescent="0.2"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</row>
    <row r="13" spans="1:29" ht="36" customHeight="1" x14ac:dyDescent="0.2">
      <c r="A13" s="43" t="s">
        <v>40</v>
      </c>
      <c r="B13" s="98"/>
      <c r="C13" s="98"/>
      <c r="D13" s="98"/>
      <c r="E13" s="98"/>
      <c r="F13" s="27"/>
      <c r="G13" s="93" t="s">
        <v>14</v>
      </c>
      <c r="H13" s="93"/>
      <c r="I13" s="93"/>
      <c r="J13" s="126" t="s">
        <v>41</v>
      </c>
      <c r="K13" s="126"/>
      <c r="L13" s="93" t="s">
        <v>15</v>
      </c>
      <c r="M13" s="93"/>
      <c r="N13" s="93"/>
      <c r="O13" s="123" t="s">
        <v>41</v>
      </c>
      <c r="P13" s="124"/>
      <c r="Q13" s="125"/>
      <c r="R13" s="93" t="s">
        <v>16</v>
      </c>
      <c r="S13" s="93"/>
      <c r="T13" s="93"/>
      <c r="U13" s="126" t="s">
        <v>41</v>
      </c>
      <c r="V13" s="126"/>
      <c r="W13" s="93" t="s">
        <v>17</v>
      </c>
      <c r="X13" s="93"/>
      <c r="Y13" s="93"/>
      <c r="Z13" s="93"/>
      <c r="AA13" s="126" t="s">
        <v>41</v>
      </c>
      <c r="AB13" s="126"/>
    </row>
    <row r="14" spans="1:29" ht="27" customHeight="1" x14ac:dyDescent="0.2">
      <c r="A14" s="98" t="s">
        <v>3</v>
      </c>
      <c r="B14" s="98"/>
      <c r="C14" s="98"/>
      <c r="D14" s="98"/>
      <c r="E14" s="98"/>
      <c r="F14" s="27" t="s">
        <v>36</v>
      </c>
      <c r="G14" s="93" t="s">
        <v>18</v>
      </c>
      <c r="H14" s="93"/>
      <c r="I14" s="93"/>
      <c r="J14" s="93"/>
      <c r="K14" s="93"/>
      <c r="L14" s="93"/>
      <c r="M14" s="95">
        <v>678.6</v>
      </c>
      <c r="N14" s="96"/>
      <c r="O14" s="96"/>
      <c r="P14" s="96"/>
      <c r="Q14" s="97"/>
      <c r="R14" s="93" t="s">
        <v>19</v>
      </c>
      <c r="S14" s="93"/>
      <c r="T14" s="93"/>
      <c r="U14" s="93"/>
      <c r="V14" s="93"/>
      <c r="W14" s="94" t="s">
        <v>41</v>
      </c>
      <c r="X14" s="94"/>
      <c r="Y14" s="94"/>
      <c r="Z14" s="94"/>
      <c r="AA14" s="94"/>
      <c r="AB14" s="94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9" t="s">
        <v>20</v>
      </c>
      <c r="B17" s="90"/>
      <c r="C17" s="90"/>
      <c r="D17" s="90"/>
      <c r="E17" s="90"/>
      <c r="F17" s="91"/>
      <c r="G17" s="88" t="s">
        <v>21</v>
      </c>
      <c r="H17" s="88"/>
      <c r="I17" s="88"/>
      <c r="J17" s="88" t="s">
        <v>23</v>
      </c>
      <c r="K17" s="88"/>
      <c r="L17" s="88"/>
      <c r="M17" s="88" t="s">
        <v>24</v>
      </c>
      <c r="N17" s="88"/>
      <c r="O17" s="88"/>
      <c r="P17" s="88" t="s">
        <v>22</v>
      </c>
      <c r="Q17" s="88"/>
      <c r="R17" s="88"/>
      <c r="S17" s="88"/>
      <c r="T17" s="88" t="s">
        <v>25</v>
      </c>
      <c r="U17" s="88"/>
      <c r="V17" s="88"/>
      <c r="W17" s="88" t="s">
        <v>26</v>
      </c>
      <c r="X17" s="88"/>
      <c r="Y17" s="88"/>
      <c r="Z17" s="88" t="s">
        <v>27</v>
      </c>
      <c r="AA17" s="88"/>
      <c r="AB17" s="88"/>
    </row>
    <row r="18" spans="1:28" ht="15" customHeight="1" x14ac:dyDescent="0.2">
      <c r="A18" s="139" t="s">
        <v>56</v>
      </c>
      <c r="B18" s="139"/>
      <c r="C18" s="139"/>
      <c r="D18" s="139"/>
      <c r="E18" s="139"/>
      <c r="F18" s="139"/>
      <c r="G18" s="16">
        <v>-5</v>
      </c>
      <c r="H18" s="16">
        <v>1</v>
      </c>
      <c r="I18" s="16"/>
      <c r="J18" s="50"/>
      <c r="K18" s="50"/>
      <c r="L18" s="50"/>
      <c r="M18" s="16"/>
      <c r="N18" s="16">
        <v>0</v>
      </c>
      <c r="O18" s="16"/>
      <c r="P18" s="51"/>
      <c r="Q18" s="51"/>
      <c r="R18" s="51"/>
      <c r="S18" s="51"/>
      <c r="T18" s="17"/>
      <c r="U18" s="16">
        <v>0</v>
      </c>
      <c r="V18" s="17"/>
      <c r="W18" s="51"/>
      <c r="X18" s="51"/>
      <c r="Y18" s="51"/>
      <c r="Z18" s="17"/>
      <c r="AA18" s="16">
        <v>0</v>
      </c>
      <c r="AB18" s="17"/>
    </row>
    <row r="19" spans="1:28" ht="15" customHeight="1" x14ac:dyDescent="0.2">
      <c r="A19" s="143" t="s">
        <v>63</v>
      </c>
      <c r="B19" s="144"/>
      <c r="C19" s="144"/>
      <c r="D19" s="144"/>
      <c r="E19" s="144"/>
      <c r="F19" s="145"/>
      <c r="G19" s="16"/>
      <c r="H19" s="16">
        <v>1</v>
      </c>
      <c r="I19" s="16"/>
      <c r="J19" s="50"/>
      <c r="K19" s="50"/>
      <c r="L19" s="50"/>
      <c r="M19" s="16"/>
      <c r="N19" s="16">
        <v>0</v>
      </c>
      <c r="O19" s="16"/>
      <c r="P19" s="51"/>
      <c r="Q19" s="51"/>
      <c r="R19" s="51"/>
      <c r="S19" s="51"/>
      <c r="T19" s="17"/>
      <c r="U19" s="16">
        <v>0</v>
      </c>
      <c r="V19" s="17"/>
      <c r="W19" s="51"/>
      <c r="X19" s="51"/>
      <c r="Y19" s="51"/>
      <c r="Z19" s="17"/>
      <c r="AA19" s="16">
        <v>0</v>
      </c>
      <c r="AB19" s="17"/>
    </row>
    <row r="20" spans="1:28" ht="15" customHeight="1" x14ac:dyDescent="0.2">
      <c r="A20" s="143" t="s">
        <v>58</v>
      </c>
      <c r="B20" s="144"/>
      <c r="C20" s="144"/>
      <c r="D20" s="144"/>
      <c r="E20" s="144"/>
      <c r="F20" s="145"/>
      <c r="G20" s="16"/>
      <c r="H20" s="16">
        <v>2</v>
      </c>
      <c r="I20" s="16"/>
      <c r="J20" s="50"/>
      <c r="K20" s="50"/>
      <c r="L20" s="50"/>
      <c r="M20" s="16"/>
      <c r="N20" s="16">
        <v>0</v>
      </c>
      <c r="O20" s="16"/>
      <c r="P20" s="51"/>
      <c r="Q20" s="51"/>
      <c r="R20" s="51"/>
      <c r="S20" s="51"/>
      <c r="T20" s="17"/>
      <c r="U20" s="16">
        <v>0</v>
      </c>
      <c r="V20" s="17"/>
      <c r="W20" s="51"/>
      <c r="X20" s="51"/>
      <c r="Y20" s="51"/>
      <c r="Z20" s="18"/>
      <c r="AA20" s="16">
        <v>0</v>
      </c>
      <c r="AB20" s="17"/>
    </row>
    <row r="21" spans="1:28" ht="15" customHeight="1" x14ac:dyDescent="0.2">
      <c r="A21" s="143" t="s">
        <v>64</v>
      </c>
      <c r="B21" s="144"/>
      <c r="C21" s="144"/>
      <c r="D21" s="144"/>
      <c r="E21" s="144"/>
      <c r="F21" s="145"/>
      <c r="G21" s="16"/>
      <c r="H21" s="16">
        <v>2</v>
      </c>
      <c r="I21" s="16"/>
      <c r="J21" s="50"/>
      <c r="K21" s="50"/>
      <c r="L21" s="50"/>
      <c r="M21" s="16"/>
      <c r="N21" s="16">
        <v>0</v>
      </c>
      <c r="O21" s="16"/>
      <c r="P21" s="51"/>
      <c r="Q21" s="51"/>
      <c r="R21" s="51"/>
      <c r="S21" s="51"/>
      <c r="T21" s="17"/>
      <c r="U21" s="16">
        <v>0</v>
      </c>
      <c r="V21" s="17"/>
      <c r="W21" s="50"/>
      <c r="X21" s="50"/>
      <c r="Y21" s="50"/>
      <c r="Z21" s="17"/>
      <c r="AA21" s="16">
        <v>0</v>
      </c>
      <c r="AB21" s="17"/>
    </row>
    <row r="22" spans="1:28" ht="15" customHeight="1" x14ac:dyDescent="0.2">
      <c r="A22" s="143" t="s">
        <v>62</v>
      </c>
      <c r="B22" s="144"/>
      <c r="C22" s="144"/>
      <c r="D22" s="144"/>
      <c r="E22" s="144"/>
      <c r="F22" s="145"/>
      <c r="G22" s="16"/>
      <c r="H22" s="16">
        <v>2</v>
      </c>
      <c r="I22" s="16"/>
      <c r="J22" s="50"/>
      <c r="K22" s="50"/>
      <c r="L22" s="50"/>
      <c r="M22" s="16"/>
      <c r="N22" s="16">
        <v>0</v>
      </c>
      <c r="O22" s="16"/>
      <c r="P22" s="51"/>
      <c r="Q22" s="51"/>
      <c r="R22" s="51"/>
      <c r="S22" s="51"/>
      <c r="T22" s="17"/>
      <c r="U22" s="16">
        <v>0</v>
      </c>
      <c r="V22" s="17"/>
      <c r="W22" s="50"/>
      <c r="X22" s="50"/>
      <c r="Y22" s="50"/>
      <c r="Z22" s="17"/>
      <c r="AA22" s="16">
        <v>0</v>
      </c>
      <c r="AB22" s="17"/>
    </row>
    <row r="23" spans="1:28" ht="15" customHeight="1" x14ac:dyDescent="0.2">
      <c r="A23" s="138" t="s">
        <v>60</v>
      </c>
      <c r="B23" s="139"/>
      <c r="C23" s="139"/>
      <c r="D23" s="139"/>
      <c r="E23" s="139"/>
      <c r="F23" s="139"/>
      <c r="G23" s="16"/>
      <c r="H23" s="16">
        <v>1</v>
      </c>
      <c r="I23" s="16"/>
      <c r="J23" s="50"/>
      <c r="K23" s="50"/>
      <c r="L23" s="50"/>
      <c r="M23" s="16"/>
      <c r="N23" s="16">
        <v>0</v>
      </c>
      <c r="O23" s="16"/>
      <c r="P23" s="51"/>
      <c r="Q23" s="51"/>
      <c r="R23" s="51"/>
      <c r="S23" s="51"/>
      <c r="T23" s="17"/>
      <c r="U23" s="16">
        <v>0</v>
      </c>
      <c r="V23" s="17"/>
      <c r="W23" s="50"/>
      <c r="X23" s="50"/>
      <c r="Y23" s="50"/>
      <c r="Z23" s="17"/>
      <c r="AA23" s="16">
        <v>0</v>
      </c>
      <c r="AB23" s="17"/>
    </row>
    <row r="24" spans="1:28" ht="15" customHeight="1" x14ac:dyDescent="0.2">
      <c r="A24" s="140" t="s">
        <v>61</v>
      </c>
      <c r="B24" s="141"/>
      <c r="C24" s="141"/>
      <c r="D24" s="141"/>
      <c r="E24" s="141"/>
      <c r="F24" s="142"/>
      <c r="G24" s="16"/>
      <c r="H24" s="16">
        <v>1</v>
      </c>
      <c r="I24" s="16"/>
      <c r="J24" s="50"/>
      <c r="K24" s="50"/>
      <c r="L24" s="50"/>
      <c r="M24" s="16"/>
      <c r="N24" s="16">
        <v>0</v>
      </c>
      <c r="O24" s="16"/>
      <c r="P24" s="51"/>
      <c r="Q24" s="51"/>
      <c r="R24" s="51"/>
      <c r="S24" s="51"/>
      <c r="T24" s="17"/>
      <c r="U24" s="16">
        <v>0</v>
      </c>
      <c r="V24" s="17"/>
      <c r="W24" s="50"/>
      <c r="X24" s="50"/>
      <c r="Y24" s="50"/>
      <c r="Z24" s="17"/>
      <c r="AA24" s="16">
        <v>0</v>
      </c>
      <c r="AB24" s="17"/>
    </row>
    <row r="25" spans="1:28" ht="15" customHeight="1" x14ac:dyDescent="0.2">
      <c r="A25" s="137"/>
      <c r="B25" s="48"/>
      <c r="C25" s="48"/>
      <c r="D25" s="48"/>
      <c r="E25" s="48"/>
      <c r="F25" s="48"/>
      <c r="G25" s="16"/>
      <c r="H25" s="16">
        <v>0</v>
      </c>
      <c r="I25" s="16"/>
      <c r="J25" s="50"/>
      <c r="K25" s="50"/>
      <c r="L25" s="50"/>
      <c r="M25" s="16"/>
      <c r="N25" s="16">
        <v>0</v>
      </c>
      <c r="O25" s="16"/>
      <c r="P25" s="51"/>
      <c r="Q25" s="51"/>
      <c r="R25" s="51"/>
      <c r="S25" s="51"/>
      <c r="T25" s="17"/>
      <c r="U25" s="16">
        <v>0</v>
      </c>
      <c r="V25" s="17"/>
      <c r="W25" s="50"/>
      <c r="X25" s="50"/>
      <c r="Y25" s="50"/>
      <c r="Z25" s="17"/>
      <c r="AA25" s="16">
        <v>0</v>
      </c>
      <c r="AB25" s="17"/>
    </row>
    <row r="26" spans="1:28" ht="15" customHeight="1" x14ac:dyDescent="0.2">
      <c r="A26" s="48"/>
      <c r="B26" s="48"/>
      <c r="C26" s="48"/>
      <c r="D26" s="48"/>
      <c r="E26" s="48"/>
      <c r="F26" s="48"/>
      <c r="G26" s="16"/>
      <c r="H26" s="16">
        <v>0</v>
      </c>
      <c r="I26" s="16"/>
      <c r="J26" s="50"/>
      <c r="K26" s="50"/>
      <c r="L26" s="50"/>
      <c r="M26" s="16"/>
      <c r="N26" s="16">
        <v>0</v>
      </c>
      <c r="O26" s="16"/>
      <c r="P26" s="51"/>
      <c r="Q26" s="51"/>
      <c r="R26" s="51"/>
      <c r="S26" s="51"/>
      <c r="T26" s="17"/>
      <c r="U26" s="16">
        <v>0</v>
      </c>
      <c r="V26" s="17"/>
      <c r="W26" s="50"/>
      <c r="X26" s="50"/>
      <c r="Y26" s="50"/>
      <c r="Z26" s="17"/>
      <c r="AA26" s="16">
        <v>0</v>
      </c>
      <c r="AB26" s="17"/>
    </row>
    <row r="27" spans="1:28" ht="15" customHeight="1" x14ac:dyDescent="0.2">
      <c r="A27" s="136"/>
      <c r="B27" s="136"/>
      <c r="C27" s="136"/>
      <c r="D27" s="136"/>
      <c r="E27" s="136"/>
      <c r="F27" s="136"/>
      <c r="G27" s="16"/>
      <c r="H27" s="16">
        <v>0</v>
      </c>
      <c r="I27" s="16"/>
      <c r="J27" s="50"/>
      <c r="K27" s="50"/>
      <c r="L27" s="50"/>
      <c r="M27" s="16"/>
      <c r="N27" s="16">
        <v>0</v>
      </c>
      <c r="O27" s="16"/>
      <c r="P27" s="51"/>
      <c r="Q27" s="51"/>
      <c r="R27" s="51"/>
      <c r="S27" s="51"/>
      <c r="T27" s="17"/>
      <c r="U27" s="16">
        <v>0</v>
      </c>
      <c r="V27" s="17"/>
      <c r="W27" s="50"/>
      <c r="X27" s="50"/>
      <c r="Y27" s="50"/>
      <c r="Z27" s="17"/>
      <c r="AA27" s="16">
        <v>0</v>
      </c>
      <c r="AB27" s="17"/>
    </row>
    <row r="28" spans="1:28" ht="15" customHeight="1" x14ac:dyDescent="0.2">
      <c r="A28" s="48"/>
      <c r="B28" s="48"/>
      <c r="C28" s="48"/>
      <c r="D28" s="48"/>
      <c r="E28" s="48"/>
      <c r="F28" s="48"/>
      <c r="G28" s="16"/>
      <c r="H28" s="16">
        <v>0</v>
      </c>
      <c r="I28" s="16"/>
      <c r="J28" s="50"/>
      <c r="K28" s="50"/>
      <c r="L28" s="50"/>
      <c r="M28" s="16"/>
      <c r="N28" s="16">
        <v>0</v>
      </c>
      <c r="O28" s="16"/>
      <c r="P28" s="51"/>
      <c r="Q28" s="51"/>
      <c r="R28" s="51"/>
      <c r="S28" s="51"/>
      <c r="T28" s="17"/>
      <c r="U28" s="16">
        <v>0</v>
      </c>
      <c r="V28" s="17"/>
      <c r="W28" s="50"/>
      <c r="X28" s="50"/>
      <c r="Y28" s="50"/>
      <c r="Z28" s="17"/>
      <c r="AA28" s="16">
        <v>0</v>
      </c>
      <c r="AB28" s="17"/>
    </row>
    <row r="29" spans="1:28" ht="15" customHeight="1" x14ac:dyDescent="0.2">
      <c r="A29" s="48"/>
      <c r="B29" s="48"/>
      <c r="C29" s="48"/>
      <c r="D29" s="48"/>
      <c r="E29" s="48"/>
      <c r="F29" s="48"/>
      <c r="G29" s="16"/>
      <c r="H29" s="16">
        <v>0</v>
      </c>
      <c r="I29" s="16"/>
      <c r="J29" s="50"/>
      <c r="K29" s="50"/>
      <c r="L29" s="50"/>
      <c r="M29" s="16"/>
      <c r="N29" s="16">
        <v>0</v>
      </c>
      <c r="O29" s="16"/>
      <c r="P29" s="51"/>
      <c r="Q29" s="51"/>
      <c r="R29" s="51"/>
      <c r="S29" s="51"/>
      <c r="T29" s="17"/>
      <c r="U29" s="16">
        <v>0</v>
      </c>
      <c r="V29" s="17"/>
      <c r="W29" s="50"/>
      <c r="X29" s="50"/>
      <c r="Y29" s="50"/>
      <c r="Z29" s="17"/>
      <c r="AA29" s="16">
        <v>0</v>
      </c>
      <c r="AB29" s="17"/>
    </row>
    <row r="30" spans="1:28" ht="15" customHeight="1" x14ac:dyDescent="0.2">
      <c r="A30" s="48"/>
      <c r="B30" s="48"/>
      <c r="C30" s="48"/>
      <c r="D30" s="48"/>
      <c r="E30" s="48"/>
      <c r="F30" s="48"/>
      <c r="G30" s="16"/>
      <c r="H30" s="16">
        <v>0</v>
      </c>
      <c r="I30" s="16"/>
      <c r="J30" s="50"/>
      <c r="K30" s="50"/>
      <c r="L30" s="50"/>
      <c r="M30" s="16"/>
      <c r="N30" s="16">
        <v>0</v>
      </c>
      <c r="O30" s="16"/>
      <c r="P30" s="51"/>
      <c r="Q30" s="51"/>
      <c r="R30" s="51"/>
      <c r="S30" s="51"/>
      <c r="T30" s="17"/>
      <c r="U30" s="16">
        <v>0</v>
      </c>
      <c r="V30" s="17"/>
      <c r="W30" s="50"/>
      <c r="X30" s="50"/>
      <c r="Y30" s="50"/>
      <c r="Z30" s="17"/>
      <c r="AA30" s="16">
        <v>0</v>
      </c>
      <c r="AB30" s="17"/>
    </row>
    <row r="31" spans="1:28" ht="15" customHeight="1" x14ac:dyDescent="0.2">
      <c r="A31" s="48"/>
      <c r="B31" s="48"/>
      <c r="C31" s="48"/>
      <c r="D31" s="48"/>
      <c r="E31" s="48"/>
      <c r="F31" s="48"/>
      <c r="G31" s="16"/>
      <c r="H31" s="16">
        <v>1</v>
      </c>
      <c r="I31" s="16"/>
      <c r="J31" s="50"/>
      <c r="K31" s="50"/>
      <c r="L31" s="50"/>
      <c r="M31" s="16"/>
      <c r="N31" s="16">
        <v>0</v>
      </c>
      <c r="O31" s="16"/>
      <c r="P31" s="51"/>
      <c r="Q31" s="51"/>
      <c r="R31" s="51"/>
      <c r="S31" s="51"/>
      <c r="T31" s="17"/>
      <c r="U31" s="16">
        <v>0</v>
      </c>
      <c r="V31" s="17"/>
      <c r="W31" s="50"/>
      <c r="X31" s="50"/>
      <c r="Y31" s="50"/>
      <c r="Z31" s="17"/>
      <c r="AA31" s="16">
        <v>0</v>
      </c>
      <c r="AB31" s="17"/>
    </row>
    <row r="32" spans="1:28" ht="15" customHeight="1" x14ac:dyDescent="0.2">
      <c r="A32" s="48"/>
      <c r="B32" s="48"/>
      <c r="C32" s="48"/>
      <c r="D32" s="48"/>
      <c r="E32" s="48"/>
      <c r="F32" s="48"/>
      <c r="G32" s="16"/>
      <c r="H32" s="16">
        <v>0</v>
      </c>
      <c r="I32" s="16"/>
      <c r="J32" s="50"/>
      <c r="K32" s="50"/>
      <c r="L32" s="50"/>
      <c r="M32" s="16"/>
      <c r="N32" s="16">
        <v>0</v>
      </c>
      <c r="O32" s="16"/>
      <c r="P32" s="51"/>
      <c r="Q32" s="51"/>
      <c r="R32" s="51"/>
      <c r="S32" s="51"/>
      <c r="T32" s="17"/>
      <c r="U32" s="16">
        <v>0</v>
      </c>
      <c r="V32" s="17"/>
      <c r="W32" s="50"/>
      <c r="X32" s="50"/>
      <c r="Y32" s="50"/>
      <c r="Z32" s="17"/>
      <c r="AA32" s="16">
        <v>0</v>
      </c>
      <c r="AB32" s="17"/>
    </row>
    <row r="33" spans="1:28" ht="15" customHeight="1" x14ac:dyDescent="0.2">
      <c r="A33" s="48"/>
      <c r="B33" s="48"/>
      <c r="C33" s="48"/>
      <c r="D33" s="48"/>
      <c r="E33" s="48"/>
      <c r="F33" s="48"/>
      <c r="G33" s="16"/>
      <c r="H33" s="16">
        <v>0</v>
      </c>
      <c r="I33" s="16"/>
      <c r="J33" s="50"/>
      <c r="K33" s="50"/>
      <c r="L33" s="50"/>
      <c r="M33" s="16"/>
      <c r="N33" s="16">
        <v>0</v>
      </c>
      <c r="O33" s="16"/>
      <c r="P33" s="51"/>
      <c r="Q33" s="51"/>
      <c r="R33" s="51"/>
      <c r="S33" s="51"/>
      <c r="T33" s="17"/>
      <c r="U33" s="16">
        <v>0</v>
      </c>
      <c r="V33" s="17"/>
      <c r="W33" s="50"/>
      <c r="X33" s="50"/>
      <c r="Y33" s="50"/>
      <c r="Z33" s="17"/>
      <c r="AA33" s="16">
        <v>0</v>
      </c>
      <c r="AB33" s="17"/>
    </row>
    <row r="34" spans="1:28" ht="15" customHeight="1" x14ac:dyDescent="0.2">
      <c r="A34" s="48"/>
      <c r="B34" s="48"/>
      <c r="C34" s="48"/>
      <c r="D34" s="48"/>
      <c r="E34" s="48"/>
      <c r="F34" s="48"/>
      <c r="G34" s="16"/>
      <c r="H34" s="16">
        <v>0</v>
      </c>
      <c r="I34" s="16"/>
      <c r="J34" s="50"/>
      <c r="K34" s="50"/>
      <c r="L34" s="50"/>
      <c r="M34" s="16"/>
      <c r="N34" s="16">
        <v>0</v>
      </c>
      <c r="O34" s="16"/>
      <c r="P34" s="51"/>
      <c r="Q34" s="51"/>
      <c r="R34" s="51"/>
      <c r="S34" s="51"/>
      <c r="T34" s="17"/>
      <c r="U34" s="16">
        <v>0</v>
      </c>
      <c r="V34" s="17"/>
      <c r="W34" s="50"/>
      <c r="X34" s="50"/>
      <c r="Y34" s="50"/>
      <c r="Z34" s="17"/>
      <c r="AA34" s="16">
        <v>0</v>
      </c>
      <c r="AB34" s="17"/>
    </row>
    <row r="35" spans="1:28" ht="15" customHeight="1" x14ac:dyDescent="0.2">
      <c r="A35" s="48"/>
      <c r="B35" s="48"/>
      <c r="C35" s="48"/>
      <c r="D35" s="48"/>
      <c r="E35" s="48"/>
      <c r="F35" s="48"/>
      <c r="G35" s="16"/>
      <c r="H35" s="16">
        <v>0</v>
      </c>
      <c r="I35" s="16"/>
      <c r="J35" s="50"/>
      <c r="K35" s="50"/>
      <c r="L35" s="50"/>
      <c r="M35" s="16"/>
      <c r="N35" s="16">
        <v>0</v>
      </c>
      <c r="O35" s="16"/>
      <c r="P35" s="51"/>
      <c r="Q35" s="51"/>
      <c r="R35" s="51"/>
      <c r="S35" s="51"/>
      <c r="T35" s="17"/>
      <c r="U35" s="16">
        <v>0</v>
      </c>
      <c r="V35" s="17"/>
      <c r="W35" s="50"/>
      <c r="X35" s="50"/>
      <c r="Y35" s="50"/>
      <c r="Z35" s="17"/>
      <c r="AA35" s="16">
        <v>0</v>
      </c>
      <c r="AB35" s="17"/>
    </row>
    <row r="36" spans="1:28" ht="15" customHeight="1" x14ac:dyDescent="0.2">
      <c r="A36" s="48"/>
      <c r="B36" s="48"/>
      <c r="C36" s="48"/>
      <c r="D36" s="48"/>
      <c r="E36" s="48"/>
      <c r="F36" s="48"/>
      <c r="G36" s="16"/>
      <c r="H36" s="16">
        <v>0</v>
      </c>
      <c r="I36" s="16"/>
      <c r="J36" s="50"/>
      <c r="K36" s="50"/>
      <c r="L36" s="50"/>
      <c r="M36" s="16"/>
      <c r="N36" s="16">
        <v>0</v>
      </c>
      <c r="O36" s="16"/>
      <c r="P36" s="51"/>
      <c r="Q36" s="51"/>
      <c r="R36" s="51"/>
      <c r="S36" s="51"/>
      <c r="T36" s="17"/>
      <c r="U36" s="16">
        <v>0</v>
      </c>
      <c r="V36" s="17"/>
      <c r="W36" s="50"/>
      <c r="X36" s="50"/>
      <c r="Y36" s="50"/>
      <c r="Z36" s="17"/>
      <c r="AA36" s="16">
        <v>0</v>
      </c>
      <c r="AB36" s="17"/>
    </row>
    <row r="37" spans="1:28" ht="15" customHeight="1" x14ac:dyDescent="0.2">
      <c r="A37" s="48"/>
      <c r="B37" s="48"/>
      <c r="C37" s="48"/>
      <c r="D37" s="48"/>
      <c r="E37" s="48"/>
      <c r="F37" s="48"/>
      <c r="G37" s="16"/>
      <c r="H37" s="16">
        <v>0</v>
      </c>
      <c r="I37" s="16"/>
      <c r="J37" s="50"/>
      <c r="K37" s="50"/>
      <c r="L37" s="50"/>
      <c r="M37" s="16"/>
      <c r="N37" s="16">
        <v>0</v>
      </c>
      <c r="O37" s="16"/>
      <c r="P37" s="51"/>
      <c r="Q37" s="51"/>
      <c r="R37" s="51"/>
      <c r="S37" s="51"/>
      <c r="T37" s="17"/>
      <c r="U37" s="16">
        <v>0</v>
      </c>
      <c r="V37" s="17"/>
      <c r="W37" s="50"/>
      <c r="X37" s="50"/>
      <c r="Y37" s="50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0" t="s">
        <v>28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W39" s="43" t="s">
        <v>34</v>
      </c>
      <c r="X39" s="43"/>
      <c r="Y39" s="43"/>
      <c r="Z39" s="43"/>
      <c r="AA39" s="43"/>
      <c r="AB39" s="43"/>
    </row>
    <row r="40" spans="1:28" ht="22.5" customHeight="1" x14ac:dyDescent="0.2">
      <c r="A40" s="130"/>
      <c r="B40" s="131"/>
      <c r="C40" s="131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1"/>
      <c r="O40" s="131"/>
      <c r="P40" s="131"/>
      <c r="Q40" s="131"/>
      <c r="R40" s="131"/>
      <c r="S40" s="131"/>
      <c r="T40" s="131"/>
      <c r="U40" s="132"/>
      <c r="W40" s="39"/>
      <c r="X40" s="40"/>
      <c r="Y40" s="40"/>
      <c r="Z40" s="40"/>
      <c r="AA40" s="40"/>
      <c r="AB40" s="41"/>
    </row>
    <row r="41" spans="1:28" ht="26.25" customHeight="1" x14ac:dyDescent="0.2">
      <c r="A41" s="133"/>
      <c r="B41" s="134"/>
      <c r="C41" s="134"/>
      <c r="D41" s="134"/>
      <c r="E41" s="134"/>
      <c r="F41" s="134"/>
      <c r="G41" s="134"/>
      <c r="H41" s="134"/>
      <c r="I41" s="134"/>
      <c r="J41" s="134"/>
      <c r="K41" s="134"/>
      <c r="L41" s="134"/>
      <c r="M41" s="134"/>
      <c r="N41" s="134"/>
      <c r="O41" s="134"/>
      <c r="P41" s="134"/>
      <c r="Q41" s="134"/>
      <c r="R41" s="134"/>
      <c r="S41" s="134"/>
      <c r="T41" s="134"/>
      <c r="U41" s="135"/>
      <c r="V41" s="44"/>
      <c r="W41" s="42" t="s">
        <v>29</v>
      </c>
      <c r="X41" s="43"/>
      <c r="Y41" s="43"/>
      <c r="Z41" s="43"/>
      <c r="AA41" s="43"/>
      <c r="AB41" s="43"/>
    </row>
    <row r="42" spans="1:28" ht="22.5" customHeight="1" x14ac:dyDescent="0.2">
      <c r="A42" s="133"/>
      <c r="B42" s="134"/>
      <c r="C42" s="134"/>
      <c r="D42" s="134"/>
      <c r="E42" s="134"/>
      <c r="F42" s="134"/>
      <c r="G42" s="134"/>
      <c r="H42" s="134"/>
      <c r="I42" s="134"/>
      <c r="J42" s="134"/>
      <c r="K42" s="134"/>
      <c r="L42" s="134"/>
      <c r="M42" s="134"/>
      <c r="N42" s="134"/>
      <c r="O42" s="134"/>
      <c r="P42" s="134"/>
      <c r="Q42" s="134"/>
      <c r="R42" s="134"/>
      <c r="S42" s="134"/>
      <c r="T42" s="134"/>
      <c r="U42" s="135"/>
      <c r="V42" s="44"/>
      <c r="W42" s="45"/>
      <c r="X42" s="46"/>
      <c r="Y42" s="46"/>
      <c r="Z42" s="46"/>
      <c r="AA42" s="46"/>
      <c r="AB42" s="47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honeticPr fontId="16" type="noConversion"/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216" name="Button 21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217" name="Button 21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218" name="Button 21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219" name="Button 2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220" name="Button 21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221" name="Button 21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" r:id="rId222" name="Button 219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" r:id="rId223" name="Button 220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" r:id="rId224" name="Button 2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" r:id="rId225" name="Button 22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" r:id="rId226" name="Button 22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" r:id="rId227" name="Button 22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" r:id="rId228" name="Button 22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" r:id="rId229" name="Button 22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" r:id="rId230" name="Button 22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" r:id="rId231" name="Button 22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" r:id="rId232" name="Button 22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" r:id="rId233" name="Button 23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" r:id="rId234" name="Button 231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" r:id="rId235" name="Button 23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81"/>
  <sheetViews>
    <sheetView workbookViewId="0"/>
  </sheetViews>
  <sheetFormatPr baseColWidth="10" defaultRowHeight="12.75" x14ac:dyDescent="0.2"/>
  <cols>
    <col min="1" max="1" width="10.7109375" style="28" bestFit="1" customWidth="1"/>
    <col min="2" max="2" width="6.5703125" style="28" bestFit="1" customWidth="1"/>
    <col min="3" max="3" width="28.85546875" style="28" bestFit="1" customWidth="1"/>
    <col min="4" max="4" width="21.7109375" style="28" bestFit="1" customWidth="1"/>
    <col min="5" max="5" width="8.140625" style="28" bestFit="1" customWidth="1"/>
    <col min="6" max="6" width="8.28515625" style="35" bestFit="1" customWidth="1"/>
    <col min="7" max="16384" width="11.42578125" style="28"/>
  </cols>
  <sheetData>
    <row r="1" spans="1:6" s="32" customFormat="1" x14ac:dyDescent="0.2">
      <c r="A1" s="32" t="s">
        <v>37</v>
      </c>
      <c r="B1" s="32" t="s">
        <v>49</v>
      </c>
      <c r="C1" s="32" t="s">
        <v>38</v>
      </c>
      <c r="D1" s="32" t="s">
        <v>39</v>
      </c>
      <c r="E1" s="32" t="s">
        <v>48</v>
      </c>
      <c r="F1" s="34" t="s">
        <v>50</v>
      </c>
    </row>
    <row r="2" spans="1:6" x14ac:dyDescent="0.2">
      <c r="A2" s="29" t="str">
        <f>Densidad_Grandes_Grupos!U9</f>
        <v>SP-21-0231</v>
      </c>
      <c r="B2" s="31" t="str">
        <f>Densidad_Grandes_Grupos!W14</f>
        <v>N/A</v>
      </c>
      <c r="C2" s="28" t="str">
        <f>Densidad_Grandes_Grupos!A18</f>
        <v>Polychaeta</v>
      </c>
      <c r="D2" s="28">
        <f>Densidad_Grandes_Grupos!H18</f>
        <v>10</v>
      </c>
      <c r="E2" s="31" t="e">
        <f>(D2/B2)</f>
        <v>#VALUE!</v>
      </c>
      <c r="F2" s="35" t="e">
        <f>(E2*10000)</f>
        <v>#VALUE!</v>
      </c>
    </row>
    <row r="3" spans="1:6" x14ac:dyDescent="0.2">
      <c r="A3" s="29" t="str">
        <f>$A$2</f>
        <v>SP-21-0231</v>
      </c>
      <c r="B3" s="31" t="str">
        <f>$B$2</f>
        <v>N/A</v>
      </c>
      <c r="C3" s="28" t="str">
        <f>Densidad_Grandes_Grupos!A19</f>
        <v>Amphipoda</v>
      </c>
      <c r="D3" s="28">
        <f>Densidad_Grandes_Grupos!H19</f>
        <v>1</v>
      </c>
      <c r="E3" s="31" t="e">
        <f t="shared" ref="E3:E66" si="0">(D3/B3)</f>
        <v>#VALUE!</v>
      </c>
      <c r="F3" s="35" t="e">
        <f t="shared" ref="F3:F66" si="1">(E3*10000)</f>
        <v>#VALUE!</v>
      </c>
    </row>
    <row r="4" spans="1:6" x14ac:dyDescent="0.2">
      <c r="A4" s="29" t="str">
        <f t="shared" ref="A4:A66" si="2">$A$2</f>
        <v>SP-21-0231</v>
      </c>
      <c r="B4" s="31" t="str">
        <f t="shared" ref="B4:B67" si="3">$B$2</f>
        <v>N/A</v>
      </c>
      <c r="C4" s="28" t="str">
        <f>Densidad_Grandes_Grupos!A20</f>
        <v>Vermiforme</v>
      </c>
      <c r="D4" s="28">
        <f>Densidad_Grandes_Grupos!H20</f>
        <v>2</v>
      </c>
      <c r="E4" s="31" t="e">
        <f t="shared" si="0"/>
        <v>#VALUE!</v>
      </c>
      <c r="F4" s="35" t="e">
        <f t="shared" si="1"/>
        <v>#VALUE!</v>
      </c>
    </row>
    <row r="5" spans="1:6" x14ac:dyDescent="0.2">
      <c r="A5" s="29" t="str">
        <f t="shared" si="2"/>
        <v>SP-21-0231</v>
      </c>
      <c r="B5" s="31" t="str">
        <f t="shared" si="3"/>
        <v>N/A</v>
      </c>
      <c r="C5" s="28">
        <f>Densidad_Grandes_Grupos!A21</f>
        <v>0</v>
      </c>
      <c r="D5" s="28">
        <f>Densidad_Grandes_Grupos!H21</f>
        <v>0</v>
      </c>
      <c r="E5" s="31" t="e">
        <f t="shared" si="0"/>
        <v>#VALUE!</v>
      </c>
      <c r="F5" s="35" t="e">
        <f t="shared" si="1"/>
        <v>#VALUE!</v>
      </c>
    </row>
    <row r="6" spans="1:6" x14ac:dyDescent="0.2">
      <c r="A6" s="29" t="str">
        <f t="shared" si="2"/>
        <v>SP-21-0231</v>
      </c>
      <c r="B6" s="31" t="str">
        <f t="shared" si="3"/>
        <v>N/A</v>
      </c>
      <c r="C6" s="28">
        <f>Densidad_Grandes_Grupos!A22</f>
        <v>0</v>
      </c>
      <c r="D6" s="28">
        <f>Densidad_Grandes_Grupos!H22</f>
        <v>0</v>
      </c>
      <c r="E6" s="31" t="e">
        <f t="shared" si="0"/>
        <v>#VALUE!</v>
      </c>
      <c r="F6" s="35" t="e">
        <f t="shared" si="1"/>
        <v>#VALUE!</v>
      </c>
    </row>
    <row r="7" spans="1:6" x14ac:dyDescent="0.2">
      <c r="A7" s="29" t="str">
        <f t="shared" si="2"/>
        <v>SP-21-0231</v>
      </c>
      <c r="B7" s="31" t="str">
        <f t="shared" si="3"/>
        <v>N/A</v>
      </c>
      <c r="C7" s="28">
        <f>Densidad_Grandes_Grupos!A23</f>
        <v>0</v>
      </c>
      <c r="D7" s="28">
        <f>Densidad_Grandes_Grupos!H23</f>
        <v>0</v>
      </c>
      <c r="E7" s="31" t="e">
        <f t="shared" si="0"/>
        <v>#VALUE!</v>
      </c>
      <c r="F7" s="35" t="e">
        <f t="shared" si="1"/>
        <v>#VALUE!</v>
      </c>
    </row>
    <row r="8" spans="1:6" x14ac:dyDescent="0.2">
      <c r="A8" s="29" t="str">
        <f t="shared" si="2"/>
        <v>SP-21-0231</v>
      </c>
      <c r="B8" s="31" t="str">
        <f t="shared" si="3"/>
        <v>N/A</v>
      </c>
      <c r="C8" s="28">
        <f>Densidad_Grandes_Grupos!A24</f>
        <v>0</v>
      </c>
      <c r="D8" s="28">
        <f>Densidad_Grandes_Grupos!H24</f>
        <v>0</v>
      </c>
      <c r="E8" s="31" t="e">
        <f t="shared" si="0"/>
        <v>#VALUE!</v>
      </c>
      <c r="F8" s="35" t="e">
        <f t="shared" si="1"/>
        <v>#VALUE!</v>
      </c>
    </row>
    <row r="9" spans="1:6" x14ac:dyDescent="0.2">
      <c r="A9" s="29" t="str">
        <f t="shared" si="2"/>
        <v>SP-21-0231</v>
      </c>
      <c r="B9" s="31" t="str">
        <f t="shared" si="3"/>
        <v>N/A</v>
      </c>
      <c r="C9" s="28">
        <f>Densidad_Grandes_Grupos!A25</f>
        <v>0</v>
      </c>
      <c r="D9" s="28">
        <f>Densidad_Grandes_Grupos!H25</f>
        <v>0</v>
      </c>
      <c r="E9" s="31" t="e">
        <f t="shared" si="0"/>
        <v>#VALUE!</v>
      </c>
      <c r="F9" s="35" t="e">
        <f t="shared" si="1"/>
        <v>#VALUE!</v>
      </c>
    </row>
    <row r="10" spans="1:6" x14ac:dyDescent="0.2">
      <c r="A10" s="29" t="str">
        <f t="shared" si="2"/>
        <v>SP-21-0231</v>
      </c>
      <c r="B10" s="31" t="str">
        <f t="shared" si="3"/>
        <v>N/A</v>
      </c>
      <c r="C10" s="28">
        <f>Densidad_Grandes_Grupos!A26</f>
        <v>0</v>
      </c>
      <c r="D10" s="28">
        <f>Densidad_Grandes_Grupos!H26</f>
        <v>0</v>
      </c>
      <c r="E10" s="31" t="e">
        <f t="shared" si="0"/>
        <v>#VALUE!</v>
      </c>
      <c r="F10" s="35" t="e">
        <f t="shared" si="1"/>
        <v>#VALUE!</v>
      </c>
    </row>
    <row r="11" spans="1:6" x14ac:dyDescent="0.2">
      <c r="A11" s="29" t="str">
        <f t="shared" si="2"/>
        <v>SP-21-0231</v>
      </c>
      <c r="B11" s="31" t="str">
        <f t="shared" si="3"/>
        <v>N/A</v>
      </c>
      <c r="C11" s="28">
        <f>Densidad_Grandes_Grupos!A27</f>
        <v>0</v>
      </c>
      <c r="D11" s="28">
        <f>Densidad_Grandes_Grupos!H27</f>
        <v>0</v>
      </c>
      <c r="E11" s="31" t="e">
        <f t="shared" si="0"/>
        <v>#VALUE!</v>
      </c>
      <c r="F11" s="35" t="e">
        <f t="shared" si="1"/>
        <v>#VALUE!</v>
      </c>
    </row>
    <row r="12" spans="1:6" x14ac:dyDescent="0.2">
      <c r="A12" s="29" t="str">
        <f t="shared" si="2"/>
        <v>SP-21-0231</v>
      </c>
      <c r="B12" s="31" t="str">
        <f t="shared" si="3"/>
        <v>N/A</v>
      </c>
      <c r="C12" s="28">
        <f>Densidad_Grandes_Grupos!A28</f>
        <v>0</v>
      </c>
      <c r="D12" s="28">
        <f>Densidad_Grandes_Grupos!H28</f>
        <v>0</v>
      </c>
      <c r="E12" s="31" t="e">
        <f t="shared" si="0"/>
        <v>#VALUE!</v>
      </c>
      <c r="F12" s="35" t="e">
        <f t="shared" si="1"/>
        <v>#VALUE!</v>
      </c>
    </row>
    <row r="13" spans="1:6" x14ac:dyDescent="0.2">
      <c r="A13" s="29" t="str">
        <f t="shared" si="2"/>
        <v>SP-21-0231</v>
      </c>
      <c r="B13" s="31" t="str">
        <f t="shared" si="3"/>
        <v>N/A</v>
      </c>
      <c r="C13" s="28">
        <f>Densidad_Grandes_Grupos!A29</f>
        <v>0</v>
      </c>
      <c r="D13" s="28">
        <f>Densidad_Grandes_Grupos!H29</f>
        <v>0</v>
      </c>
      <c r="E13" s="31" t="e">
        <f t="shared" si="0"/>
        <v>#VALUE!</v>
      </c>
      <c r="F13" s="35" t="e">
        <f t="shared" si="1"/>
        <v>#VALUE!</v>
      </c>
    </row>
    <row r="14" spans="1:6" x14ac:dyDescent="0.2">
      <c r="A14" s="29" t="str">
        <f t="shared" si="2"/>
        <v>SP-21-0231</v>
      </c>
      <c r="B14" s="31" t="str">
        <f t="shared" si="3"/>
        <v>N/A</v>
      </c>
      <c r="C14" s="28">
        <f>Densidad_Grandes_Grupos!A30</f>
        <v>0</v>
      </c>
      <c r="D14" s="28">
        <f>Densidad_Grandes_Grupos!H30</f>
        <v>0</v>
      </c>
      <c r="E14" s="31" t="e">
        <f t="shared" si="0"/>
        <v>#VALUE!</v>
      </c>
      <c r="F14" s="35" t="e">
        <f t="shared" si="1"/>
        <v>#VALUE!</v>
      </c>
    </row>
    <row r="15" spans="1:6" x14ac:dyDescent="0.2">
      <c r="A15" s="29" t="str">
        <f t="shared" si="2"/>
        <v>SP-21-0231</v>
      </c>
      <c r="B15" s="31" t="str">
        <f t="shared" si="3"/>
        <v>N/A</v>
      </c>
      <c r="C15" s="28">
        <f>Densidad_Grandes_Grupos!A31</f>
        <v>0</v>
      </c>
      <c r="D15" s="28">
        <f>Densidad_Grandes_Grupos!H31</f>
        <v>0</v>
      </c>
      <c r="E15" s="31" t="e">
        <f t="shared" si="0"/>
        <v>#VALUE!</v>
      </c>
      <c r="F15" s="35" t="e">
        <f t="shared" si="1"/>
        <v>#VALUE!</v>
      </c>
    </row>
    <row r="16" spans="1:6" x14ac:dyDescent="0.2">
      <c r="A16" s="29" t="str">
        <f t="shared" si="2"/>
        <v>SP-21-0231</v>
      </c>
      <c r="B16" s="31" t="str">
        <f t="shared" si="3"/>
        <v>N/A</v>
      </c>
      <c r="C16" s="28">
        <f>Densidad_Grandes_Grupos!A32</f>
        <v>0</v>
      </c>
      <c r="D16" s="28">
        <f>Densidad_Grandes_Grupos!H32</f>
        <v>0</v>
      </c>
      <c r="E16" s="31" t="e">
        <f t="shared" si="0"/>
        <v>#VALUE!</v>
      </c>
      <c r="F16" s="35" t="e">
        <f t="shared" si="1"/>
        <v>#VALUE!</v>
      </c>
    </row>
    <row r="17" spans="1:6" x14ac:dyDescent="0.2">
      <c r="A17" s="29" t="str">
        <f t="shared" si="2"/>
        <v>SP-21-0231</v>
      </c>
      <c r="B17" s="31" t="str">
        <f t="shared" si="3"/>
        <v>N/A</v>
      </c>
      <c r="C17" s="28">
        <f>Densidad_Grandes_Grupos!A33</f>
        <v>0</v>
      </c>
      <c r="D17" s="28">
        <f>Densidad_Grandes_Grupos!H33</f>
        <v>0</v>
      </c>
      <c r="E17" s="31" t="e">
        <f t="shared" si="0"/>
        <v>#VALUE!</v>
      </c>
      <c r="F17" s="35" t="e">
        <f t="shared" si="1"/>
        <v>#VALUE!</v>
      </c>
    </row>
    <row r="18" spans="1:6" x14ac:dyDescent="0.2">
      <c r="A18" s="29" t="str">
        <f t="shared" si="2"/>
        <v>SP-21-0231</v>
      </c>
      <c r="B18" s="31" t="str">
        <f t="shared" si="3"/>
        <v>N/A</v>
      </c>
      <c r="C18" s="28">
        <f>Densidad_Grandes_Grupos!A34</f>
        <v>0</v>
      </c>
      <c r="D18" s="28">
        <f>Densidad_Grandes_Grupos!H34</f>
        <v>0</v>
      </c>
      <c r="E18" s="31" t="e">
        <f t="shared" si="0"/>
        <v>#VALUE!</v>
      </c>
      <c r="F18" s="35" t="e">
        <f t="shared" si="1"/>
        <v>#VALUE!</v>
      </c>
    </row>
    <row r="19" spans="1:6" x14ac:dyDescent="0.2">
      <c r="A19" s="29" t="str">
        <f t="shared" si="2"/>
        <v>SP-21-0231</v>
      </c>
      <c r="B19" s="31" t="str">
        <f t="shared" si="3"/>
        <v>N/A</v>
      </c>
      <c r="C19" s="28">
        <f>Densidad_Grandes_Grupos!A35</f>
        <v>0</v>
      </c>
      <c r="D19" s="28">
        <f>Densidad_Grandes_Grupos!H35</f>
        <v>0</v>
      </c>
      <c r="E19" s="31" t="e">
        <f t="shared" si="0"/>
        <v>#VALUE!</v>
      </c>
      <c r="F19" s="35" t="e">
        <f>(E19*10000)</f>
        <v>#VALUE!</v>
      </c>
    </row>
    <row r="20" spans="1:6" x14ac:dyDescent="0.2">
      <c r="A20" s="29" t="str">
        <f t="shared" si="2"/>
        <v>SP-21-0231</v>
      </c>
      <c r="B20" s="31" t="str">
        <f t="shared" si="3"/>
        <v>N/A</v>
      </c>
      <c r="C20" s="28">
        <f>Densidad_Grandes_Grupos!A36</f>
        <v>0</v>
      </c>
      <c r="D20" s="28">
        <f>Densidad_Grandes_Grupos!H36</f>
        <v>0</v>
      </c>
      <c r="E20" s="31" t="e">
        <f t="shared" si="0"/>
        <v>#VALUE!</v>
      </c>
      <c r="F20" s="35" t="e">
        <f t="shared" si="1"/>
        <v>#VALUE!</v>
      </c>
    </row>
    <row r="21" spans="1:6" x14ac:dyDescent="0.2">
      <c r="A21" s="29" t="str">
        <f t="shared" si="2"/>
        <v>SP-21-0231</v>
      </c>
      <c r="B21" s="31" t="str">
        <f t="shared" si="3"/>
        <v>N/A</v>
      </c>
      <c r="C21" s="28">
        <f>Densidad_Grandes_Grupos!A37</f>
        <v>0</v>
      </c>
      <c r="D21" s="28">
        <f>Densidad_Grandes_Grupos!H37</f>
        <v>0</v>
      </c>
      <c r="E21" s="31" t="e">
        <f t="shared" si="0"/>
        <v>#VALUE!</v>
      </c>
      <c r="F21" s="35" t="e">
        <f t="shared" si="1"/>
        <v>#VALUE!</v>
      </c>
    </row>
    <row r="22" spans="1:6" x14ac:dyDescent="0.2">
      <c r="A22" s="29" t="str">
        <f t="shared" si="2"/>
        <v>SP-21-0231</v>
      </c>
      <c r="B22" s="31" t="str">
        <f t="shared" si="3"/>
        <v>N/A</v>
      </c>
      <c r="C22" s="28">
        <f>Densidad_Grandes_Grupos!J18</f>
        <v>0</v>
      </c>
      <c r="D22" s="28">
        <f>Densidad_Grandes_Grupos!N18</f>
        <v>0</v>
      </c>
      <c r="E22" s="31" t="e">
        <f t="shared" si="0"/>
        <v>#VALUE!</v>
      </c>
      <c r="F22" s="35" t="e">
        <f t="shared" si="1"/>
        <v>#VALUE!</v>
      </c>
    </row>
    <row r="23" spans="1:6" x14ac:dyDescent="0.2">
      <c r="A23" s="29" t="str">
        <f t="shared" si="2"/>
        <v>SP-21-0231</v>
      </c>
      <c r="B23" s="31" t="str">
        <f t="shared" si="3"/>
        <v>N/A</v>
      </c>
      <c r="C23" s="28">
        <f>Densidad_Grandes_Grupos!J19</f>
        <v>0</v>
      </c>
      <c r="D23" s="28">
        <f>Densidad_Grandes_Grupos!N19</f>
        <v>0</v>
      </c>
      <c r="E23" s="31" t="e">
        <f t="shared" si="0"/>
        <v>#VALUE!</v>
      </c>
      <c r="F23" s="35" t="e">
        <f t="shared" si="1"/>
        <v>#VALUE!</v>
      </c>
    </row>
    <row r="24" spans="1:6" x14ac:dyDescent="0.2">
      <c r="A24" s="29" t="str">
        <f t="shared" si="2"/>
        <v>SP-21-0231</v>
      </c>
      <c r="B24" s="31" t="str">
        <f t="shared" si="3"/>
        <v>N/A</v>
      </c>
      <c r="C24" s="28">
        <f>Densidad_Grandes_Grupos!J20</f>
        <v>0</v>
      </c>
      <c r="D24" s="28">
        <f>Densidad_Grandes_Grupos!N20</f>
        <v>0</v>
      </c>
      <c r="E24" s="31" t="e">
        <f t="shared" si="0"/>
        <v>#VALUE!</v>
      </c>
      <c r="F24" s="35" t="e">
        <f t="shared" si="1"/>
        <v>#VALUE!</v>
      </c>
    </row>
    <row r="25" spans="1:6" x14ac:dyDescent="0.2">
      <c r="A25" s="29" t="str">
        <f t="shared" si="2"/>
        <v>SP-21-0231</v>
      </c>
      <c r="B25" s="31" t="str">
        <f t="shared" si="3"/>
        <v>N/A</v>
      </c>
      <c r="C25" s="28">
        <f>Densidad_Grandes_Grupos!J21</f>
        <v>0</v>
      </c>
      <c r="D25" s="28">
        <f>Densidad_Grandes_Grupos!N21</f>
        <v>0</v>
      </c>
      <c r="E25" s="31" t="e">
        <f t="shared" si="0"/>
        <v>#VALUE!</v>
      </c>
      <c r="F25" s="35" t="e">
        <f t="shared" si="1"/>
        <v>#VALUE!</v>
      </c>
    </row>
    <row r="26" spans="1:6" x14ac:dyDescent="0.2">
      <c r="A26" s="29" t="str">
        <f t="shared" si="2"/>
        <v>SP-21-0231</v>
      </c>
      <c r="B26" s="31" t="str">
        <f t="shared" si="3"/>
        <v>N/A</v>
      </c>
      <c r="C26" s="28">
        <f>Densidad_Grandes_Grupos!J22</f>
        <v>0</v>
      </c>
      <c r="D26" s="28">
        <f>Densidad_Grandes_Grupos!N22</f>
        <v>0</v>
      </c>
      <c r="E26" s="31" t="e">
        <f t="shared" si="0"/>
        <v>#VALUE!</v>
      </c>
      <c r="F26" s="35" t="e">
        <f t="shared" si="1"/>
        <v>#VALUE!</v>
      </c>
    </row>
    <row r="27" spans="1:6" x14ac:dyDescent="0.2">
      <c r="A27" s="29" t="str">
        <f t="shared" si="2"/>
        <v>SP-21-0231</v>
      </c>
      <c r="B27" s="31" t="str">
        <f t="shared" si="3"/>
        <v>N/A</v>
      </c>
      <c r="C27" s="28">
        <f>Densidad_Grandes_Grupos!J23</f>
        <v>0</v>
      </c>
      <c r="D27" s="28">
        <f>Densidad_Grandes_Grupos!N23</f>
        <v>0</v>
      </c>
      <c r="E27" s="31" t="e">
        <f t="shared" si="0"/>
        <v>#VALUE!</v>
      </c>
      <c r="F27" s="35" t="e">
        <f t="shared" si="1"/>
        <v>#VALUE!</v>
      </c>
    </row>
    <row r="28" spans="1:6" x14ac:dyDescent="0.2">
      <c r="A28" s="29" t="str">
        <f t="shared" si="2"/>
        <v>SP-21-0231</v>
      </c>
      <c r="B28" s="31" t="str">
        <f t="shared" si="3"/>
        <v>N/A</v>
      </c>
      <c r="C28" s="28">
        <f>Densidad_Grandes_Grupos!J24</f>
        <v>0</v>
      </c>
      <c r="D28" s="28">
        <f>Densidad_Grandes_Grupos!N24</f>
        <v>0</v>
      </c>
      <c r="E28" s="31" t="e">
        <f t="shared" si="0"/>
        <v>#VALUE!</v>
      </c>
      <c r="F28" s="35" t="e">
        <f t="shared" si="1"/>
        <v>#VALUE!</v>
      </c>
    </row>
    <row r="29" spans="1:6" x14ac:dyDescent="0.2">
      <c r="A29" s="29" t="str">
        <f t="shared" si="2"/>
        <v>SP-21-0231</v>
      </c>
      <c r="B29" s="31" t="str">
        <f t="shared" si="3"/>
        <v>N/A</v>
      </c>
      <c r="C29" s="28">
        <f>Densidad_Grandes_Grupos!J25</f>
        <v>0</v>
      </c>
      <c r="D29" s="28">
        <f>Densidad_Grandes_Grupos!N25</f>
        <v>0</v>
      </c>
      <c r="E29" s="31" t="e">
        <f t="shared" si="0"/>
        <v>#VALUE!</v>
      </c>
      <c r="F29" s="35" t="e">
        <f t="shared" si="1"/>
        <v>#VALUE!</v>
      </c>
    </row>
    <row r="30" spans="1:6" x14ac:dyDescent="0.2">
      <c r="A30" s="29" t="str">
        <f t="shared" si="2"/>
        <v>SP-21-0231</v>
      </c>
      <c r="B30" s="31" t="str">
        <f t="shared" si="3"/>
        <v>N/A</v>
      </c>
      <c r="C30" s="28">
        <f>Densidad_Grandes_Grupos!J26</f>
        <v>0</v>
      </c>
      <c r="D30" s="28">
        <f>Densidad_Grandes_Grupos!N26</f>
        <v>0</v>
      </c>
      <c r="E30" s="31" t="e">
        <f t="shared" si="0"/>
        <v>#VALUE!</v>
      </c>
      <c r="F30" s="35" t="e">
        <f t="shared" si="1"/>
        <v>#VALUE!</v>
      </c>
    </row>
    <row r="31" spans="1:6" x14ac:dyDescent="0.2">
      <c r="A31" s="29" t="str">
        <f t="shared" si="2"/>
        <v>SP-21-0231</v>
      </c>
      <c r="B31" s="31" t="str">
        <f t="shared" si="3"/>
        <v>N/A</v>
      </c>
      <c r="C31" s="28">
        <f>Densidad_Grandes_Grupos!J27</f>
        <v>0</v>
      </c>
      <c r="D31" s="28">
        <f>Densidad_Grandes_Grupos!N27</f>
        <v>0</v>
      </c>
      <c r="E31" s="31" t="e">
        <f t="shared" si="0"/>
        <v>#VALUE!</v>
      </c>
      <c r="F31" s="35" t="e">
        <f t="shared" si="1"/>
        <v>#VALUE!</v>
      </c>
    </row>
    <row r="32" spans="1:6" x14ac:dyDescent="0.2">
      <c r="A32" s="29" t="str">
        <f t="shared" si="2"/>
        <v>SP-21-0231</v>
      </c>
      <c r="B32" s="31" t="str">
        <f t="shared" si="3"/>
        <v>N/A</v>
      </c>
      <c r="C32" s="28">
        <f>Densidad_Grandes_Grupos!J28</f>
        <v>0</v>
      </c>
      <c r="D32" s="28">
        <f>Densidad_Grandes_Grupos!N28</f>
        <v>0</v>
      </c>
      <c r="E32" s="31" t="e">
        <f t="shared" si="0"/>
        <v>#VALUE!</v>
      </c>
      <c r="F32" s="35" t="e">
        <f t="shared" si="1"/>
        <v>#VALUE!</v>
      </c>
    </row>
    <row r="33" spans="1:6" x14ac:dyDescent="0.2">
      <c r="A33" s="29" t="str">
        <f t="shared" si="2"/>
        <v>SP-21-0231</v>
      </c>
      <c r="B33" s="31" t="str">
        <f t="shared" si="3"/>
        <v>N/A</v>
      </c>
      <c r="C33" s="28">
        <f>Densidad_Grandes_Grupos!J29</f>
        <v>0</v>
      </c>
      <c r="D33" s="28">
        <f>Densidad_Grandes_Grupos!N29</f>
        <v>0</v>
      </c>
      <c r="E33" s="31" t="e">
        <f t="shared" si="0"/>
        <v>#VALUE!</v>
      </c>
      <c r="F33" s="35" t="e">
        <f t="shared" si="1"/>
        <v>#VALUE!</v>
      </c>
    </row>
    <row r="34" spans="1:6" x14ac:dyDescent="0.2">
      <c r="A34" s="29" t="str">
        <f t="shared" si="2"/>
        <v>SP-21-0231</v>
      </c>
      <c r="B34" s="31" t="str">
        <f t="shared" si="3"/>
        <v>N/A</v>
      </c>
      <c r="C34" s="28">
        <f>Densidad_Grandes_Grupos!J30</f>
        <v>0</v>
      </c>
      <c r="D34" s="28">
        <f>Densidad_Grandes_Grupos!N30</f>
        <v>0</v>
      </c>
      <c r="E34" s="31" t="e">
        <f t="shared" si="0"/>
        <v>#VALUE!</v>
      </c>
      <c r="F34" s="35" t="e">
        <f t="shared" si="1"/>
        <v>#VALUE!</v>
      </c>
    </row>
    <row r="35" spans="1:6" x14ac:dyDescent="0.2">
      <c r="A35" s="29" t="str">
        <f t="shared" si="2"/>
        <v>SP-21-0231</v>
      </c>
      <c r="B35" s="31" t="str">
        <f t="shared" si="3"/>
        <v>N/A</v>
      </c>
      <c r="C35" s="28">
        <f>Densidad_Grandes_Grupos!J31</f>
        <v>0</v>
      </c>
      <c r="D35" s="28">
        <f>Densidad_Grandes_Grupos!N31</f>
        <v>0</v>
      </c>
      <c r="E35" s="31" t="e">
        <f t="shared" si="0"/>
        <v>#VALUE!</v>
      </c>
      <c r="F35" s="35" t="e">
        <f t="shared" si="1"/>
        <v>#VALUE!</v>
      </c>
    </row>
    <row r="36" spans="1:6" x14ac:dyDescent="0.2">
      <c r="A36" s="29" t="str">
        <f t="shared" si="2"/>
        <v>SP-21-0231</v>
      </c>
      <c r="B36" s="31" t="str">
        <f t="shared" si="3"/>
        <v>N/A</v>
      </c>
      <c r="C36" s="28">
        <f>Densidad_Grandes_Grupos!J32</f>
        <v>0</v>
      </c>
      <c r="D36" s="28">
        <f>Densidad_Grandes_Grupos!N32</f>
        <v>0</v>
      </c>
      <c r="E36" s="31" t="e">
        <f t="shared" si="0"/>
        <v>#VALUE!</v>
      </c>
      <c r="F36" s="35" t="e">
        <f t="shared" si="1"/>
        <v>#VALUE!</v>
      </c>
    </row>
    <row r="37" spans="1:6" x14ac:dyDescent="0.2">
      <c r="A37" s="29" t="str">
        <f t="shared" si="2"/>
        <v>SP-21-0231</v>
      </c>
      <c r="B37" s="31" t="str">
        <f t="shared" si="3"/>
        <v>N/A</v>
      </c>
      <c r="C37" s="28">
        <f>Densidad_Grandes_Grupos!J33</f>
        <v>0</v>
      </c>
      <c r="D37" s="28">
        <f>Densidad_Grandes_Grupos!N33</f>
        <v>0</v>
      </c>
      <c r="E37" s="31" t="e">
        <f t="shared" si="0"/>
        <v>#VALUE!</v>
      </c>
      <c r="F37" s="35" t="e">
        <f t="shared" si="1"/>
        <v>#VALUE!</v>
      </c>
    </row>
    <row r="38" spans="1:6" x14ac:dyDescent="0.2">
      <c r="A38" s="29" t="str">
        <f t="shared" si="2"/>
        <v>SP-21-0231</v>
      </c>
      <c r="B38" s="31" t="str">
        <f t="shared" si="3"/>
        <v>N/A</v>
      </c>
      <c r="C38" s="28">
        <f>Densidad_Grandes_Grupos!J34</f>
        <v>0</v>
      </c>
      <c r="D38" s="28">
        <f>Densidad_Grandes_Grupos!N34</f>
        <v>0</v>
      </c>
      <c r="E38" s="31" t="e">
        <f t="shared" si="0"/>
        <v>#VALUE!</v>
      </c>
      <c r="F38" s="35" t="e">
        <f t="shared" si="1"/>
        <v>#VALUE!</v>
      </c>
    </row>
    <row r="39" spans="1:6" x14ac:dyDescent="0.2">
      <c r="A39" s="29" t="str">
        <f t="shared" si="2"/>
        <v>SP-21-0231</v>
      </c>
      <c r="B39" s="31" t="str">
        <f t="shared" si="3"/>
        <v>N/A</v>
      </c>
      <c r="C39" s="28">
        <f>Densidad_Grandes_Grupos!J35</f>
        <v>0</v>
      </c>
      <c r="D39" s="28">
        <f>Densidad_Grandes_Grupos!N35</f>
        <v>0</v>
      </c>
      <c r="E39" s="31" t="e">
        <f t="shared" si="0"/>
        <v>#VALUE!</v>
      </c>
      <c r="F39" s="35" t="e">
        <f t="shared" si="1"/>
        <v>#VALUE!</v>
      </c>
    </row>
    <row r="40" spans="1:6" x14ac:dyDescent="0.2">
      <c r="A40" s="29" t="str">
        <f t="shared" si="2"/>
        <v>SP-21-0231</v>
      </c>
      <c r="B40" s="31" t="str">
        <f t="shared" si="3"/>
        <v>N/A</v>
      </c>
      <c r="C40" s="28">
        <f>Densidad_Grandes_Grupos!J36</f>
        <v>0</v>
      </c>
      <c r="D40" s="28">
        <f>Densidad_Grandes_Grupos!N36</f>
        <v>0</v>
      </c>
      <c r="E40" s="31" t="e">
        <f t="shared" si="0"/>
        <v>#VALUE!</v>
      </c>
      <c r="F40" s="35" t="e">
        <f t="shared" si="1"/>
        <v>#VALUE!</v>
      </c>
    </row>
    <row r="41" spans="1:6" x14ac:dyDescent="0.2">
      <c r="A41" s="29" t="str">
        <f t="shared" si="2"/>
        <v>SP-21-0231</v>
      </c>
      <c r="B41" s="31" t="str">
        <f t="shared" si="3"/>
        <v>N/A</v>
      </c>
      <c r="C41" s="28">
        <f>Densidad_Grandes_Grupos!J37</f>
        <v>0</v>
      </c>
      <c r="D41" s="28">
        <f>Densidad_Grandes_Grupos!N37</f>
        <v>0</v>
      </c>
      <c r="E41" s="31" t="e">
        <f t="shared" si="0"/>
        <v>#VALUE!</v>
      </c>
      <c r="F41" s="35" t="e">
        <f t="shared" si="1"/>
        <v>#VALUE!</v>
      </c>
    </row>
    <row r="42" spans="1:6" x14ac:dyDescent="0.2">
      <c r="A42" s="29" t="str">
        <f t="shared" si="2"/>
        <v>SP-21-0231</v>
      </c>
      <c r="B42" s="31" t="str">
        <f t="shared" si="3"/>
        <v>N/A</v>
      </c>
      <c r="C42" s="28">
        <f>Densidad_Grandes_Grupos!P18</f>
        <v>0</v>
      </c>
      <c r="D42" s="28">
        <f>Densidad_Grandes_Grupos!U18</f>
        <v>0</v>
      </c>
      <c r="E42" s="31" t="e">
        <f t="shared" si="0"/>
        <v>#VALUE!</v>
      </c>
      <c r="F42" s="35" t="e">
        <f t="shared" si="1"/>
        <v>#VALUE!</v>
      </c>
    </row>
    <row r="43" spans="1:6" x14ac:dyDescent="0.2">
      <c r="A43" s="29" t="str">
        <f t="shared" si="2"/>
        <v>SP-21-0231</v>
      </c>
      <c r="B43" s="31" t="str">
        <f t="shared" si="3"/>
        <v>N/A</v>
      </c>
      <c r="C43" s="28">
        <f>Densidad_Grandes_Grupos!P19</f>
        <v>0</v>
      </c>
      <c r="D43" s="28">
        <f>Densidad_Grandes_Grupos!U19</f>
        <v>0</v>
      </c>
      <c r="E43" s="31" t="e">
        <f t="shared" si="0"/>
        <v>#VALUE!</v>
      </c>
      <c r="F43" s="35" t="e">
        <f t="shared" si="1"/>
        <v>#VALUE!</v>
      </c>
    </row>
    <row r="44" spans="1:6" x14ac:dyDescent="0.2">
      <c r="A44" s="29" t="str">
        <f t="shared" si="2"/>
        <v>SP-21-0231</v>
      </c>
      <c r="B44" s="31" t="str">
        <f t="shared" si="3"/>
        <v>N/A</v>
      </c>
      <c r="C44" s="28">
        <f>Densidad_Grandes_Grupos!P20</f>
        <v>0</v>
      </c>
      <c r="D44" s="28">
        <f>Densidad_Grandes_Grupos!U20</f>
        <v>0</v>
      </c>
      <c r="E44" s="31" t="e">
        <f t="shared" si="0"/>
        <v>#VALUE!</v>
      </c>
      <c r="F44" s="35" t="e">
        <f t="shared" si="1"/>
        <v>#VALUE!</v>
      </c>
    </row>
    <row r="45" spans="1:6" x14ac:dyDescent="0.2">
      <c r="A45" s="29" t="str">
        <f t="shared" si="2"/>
        <v>SP-21-0231</v>
      </c>
      <c r="B45" s="31" t="str">
        <f t="shared" si="3"/>
        <v>N/A</v>
      </c>
      <c r="C45" s="28">
        <f>Densidad_Grandes_Grupos!P21</f>
        <v>0</v>
      </c>
      <c r="D45" s="28">
        <f>Densidad_Grandes_Grupos!U21</f>
        <v>0</v>
      </c>
      <c r="E45" s="31" t="e">
        <f t="shared" si="0"/>
        <v>#VALUE!</v>
      </c>
      <c r="F45" s="35" t="e">
        <f t="shared" si="1"/>
        <v>#VALUE!</v>
      </c>
    </row>
    <row r="46" spans="1:6" x14ac:dyDescent="0.2">
      <c r="A46" s="29" t="str">
        <f t="shared" si="2"/>
        <v>SP-21-0231</v>
      </c>
      <c r="B46" s="31" t="str">
        <f t="shared" si="3"/>
        <v>N/A</v>
      </c>
      <c r="C46" s="28">
        <f>Densidad_Grandes_Grupos!P22</f>
        <v>0</v>
      </c>
      <c r="D46" s="28">
        <f>Densidad_Grandes_Grupos!U22</f>
        <v>1</v>
      </c>
      <c r="E46" s="31" t="e">
        <f t="shared" si="0"/>
        <v>#VALUE!</v>
      </c>
      <c r="F46" s="35" t="e">
        <f t="shared" si="1"/>
        <v>#VALUE!</v>
      </c>
    </row>
    <row r="47" spans="1:6" x14ac:dyDescent="0.2">
      <c r="A47" s="29" t="str">
        <f t="shared" si="2"/>
        <v>SP-21-0231</v>
      </c>
      <c r="B47" s="31" t="str">
        <f t="shared" si="3"/>
        <v>N/A</v>
      </c>
      <c r="C47" s="28">
        <f>Densidad_Grandes_Grupos!P23</f>
        <v>0</v>
      </c>
      <c r="D47" s="28">
        <f>Densidad_Grandes_Grupos!U23</f>
        <v>0</v>
      </c>
      <c r="E47" s="31" t="e">
        <f t="shared" si="0"/>
        <v>#VALUE!</v>
      </c>
      <c r="F47" s="35" t="e">
        <f t="shared" si="1"/>
        <v>#VALUE!</v>
      </c>
    </row>
    <row r="48" spans="1:6" x14ac:dyDescent="0.2">
      <c r="A48" s="29" t="str">
        <f t="shared" si="2"/>
        <v>SP-21-0231</v>
      </c>
      <c r="B48" s="31" t="str">
        <f t="shared" si="3"/>
        <v>N/A</v>
      </c>
      <c r="C48" s="28">
        <f>Densidad_Grandes_Grupos!P24</f>
        <v>0</v>
      </c>
      <c r="D48" s="28">
        <f>Densidad_Grandes_Grupos!U24</f>
        <v>0</v>
      </c>
      <c r="E48" s="31" t="e">
        <f t="shared" si="0"/>
        <v>#VALUE!</v>
      </c>
      <c r="F48" s="35" t="e">
        <f t="shared" si="1"/>
        <v>#VALUE!</v>
      </c>
    </row>
    <row r="49" spans="1:6" x14ac:dyDescent="0.2">
      <c r="A49" s="29" t="str">
        <f t="shared" si="2"/>
        <v>SP-21-0231</v>
      </c>
      <c r="B49" s="31" t="str">
        <f t="shared" si="3"/>
        <v>N/A</v>
      </c>
      <c r="C49" s="28">
        <f>Densidad_Grandes_Grupos!P25</f>
        <v>0</v>
      </c>
      <c r="D49" s="28">
        <f>Densidad_Grandes_Grupos!U25</f>
        <v>0</v>
      </c>
      <c r="E49" s="31" t="e">
        <f t="shared" si="0"/>
        <v>#VALUE!</v>
      </c>
      <c r="F49" s="35" t="e">
        <f t="shared" si="1"/>
        <v>#VALUE!</v>
      </c>
    </row>
    <row r="50" spans="1:6" x14ac:dyDescent="0.2">
      <c r="A50" s="29" t="str">
        <f t="shared" si="2"/>
        <v>SP-21-0231</v>
      </c>
      <c r="B50" s="31" t="str">
        <f t="shared" si="3"/>
        <v>N/A</v>
      </c>
      <c r="C50" s="28">
        <f>Densidad_Grandes_Grupos!P26</f>
        <v>0</v>
      </c>
      <c r="D50" s="28">
        <f>Densidad_Grandes_Grupos!U26</f>
        <v>0</v>
      </c>
      <c r="E50" s="31" t="e">
        <f t="shared" si="0"/>
        <v>#VALUE!</v>
      </c>
      <c r="F50" s="35" t="e">
        <f t="shared" si="1"/>
        <v>#VALUE!</v>
      </c>
    </row>
    <row r="51" spans="1:6" x14ac:dyDescent="0.2">
      <c r="A51" s="29" t="str">
        <f t="shared" si="2"/>
        <v>SP-21-0231</v>
      </c>
      <c r="B51" s="31" t="str">
        <f t="shared" si="3"/>
        <v>N/A</v>
      </c>
      <c r="C51" s="28">
        <f>Densidad_Grandes_Grupos!P27</f>
        <v>0</v>
      </c>
      <c r="D51" s="28">
        <f>Densidad_Grandes_Grupos!U27</f>
        <v>0</v>
      </c>
      <c r="E51" s="31" t="e">
        <f t="shared" si="0"/>
        <v>#VALUE!</v>
      </c>
      <c r="F51" s="35" t="e">
        <f t="shared" si="1"/>
        <v>#VALUE!</v>
      </c>
    </row>
    <row r="52" spans="1:6" x14ac:dyDescent="0.2">
      <c r="A52" s="29" t="str">
        <f t="shared" si="2"/>
        <v>SP-21-0231</v>
      </c>
      <c r="B52" s="31" t="str">
        <f t="shared" si="3"/>
        <v>N/A</v>
      </c>
      <c r="C52" s="28">
        <f>Densidad_Grandes_Grupos!P28</f>
        <v>0</v>
      </c>
      <c r="D52" s="28">
        <f>Densidad_Grandes_Grupos!U28</f>
        <v>0</v>
      </c>
      <c r="E52" s="31" t="e">
        <f t="shared" si="0"/>
        <v>#VALUE!</v>
      </c>
      <c r="F52" s="35" t="e">
        <f t="shared" si="1"/>
        <v>#VALUE!</v>
      </c>
    </row>
    <row r="53" spans="1:6" x14ac:dyDescent="0.2">
      <c r="A53" s="29" t="str">
        <f t="shared" si="2"/>
        <v>SP-21-0231</v>
      </c>
      <c r="B53" s="31" t="str">
        <f t="shared" si="3"/>
        <v>N/A</v>
      </c>
      <c r="C53" s="28">
        <f>Densidad_Grandes_Grupos!P29</f>
        <v>0</v>
      </c>
      <c r="D53" s="28">
        <f>Densidad_Grandes_Grupos!U29</f>
        <v>0</v>
      </c>
      <c r="E53" s="31" t="e">
        <f t="shared" si="0"/>
        <v>#VALUE!</v>
      </c>
      <c r="F53" s="35" t="e">
        <f t="shared" si="1"/>
        <v>#VALUE!</v>
      </c>
    </row>
    <row r="54" spans="1:6" x14ac:dyDescent="0.2">
      <c r="A54" s="29" t="str">
        <f t="shared" si="2"/>
        <v>SP-21-0231</v>
      </c>
      <c r="B54" s="31" t="str">
        <f t="shared" si="3"/>
        <v>N/A</v>
      </c>
      <c r="C54" s="28">
        <f>Densidad_Grandes_Grupos!P30</f>
        <v>0</v>
      </c>
      <c r="D54" s="28">
        <f>Densidad_Grandes_Grupos!U30</f>
        <v>0</v>
      </c>
      <c r="E54" s="31" t="e">
        <f t="shared" si="0"/>
        <v>#VALUE!</v>
      </c>
      <c r="F54" s="35" t="e">
        <f t="shared" si="1"/>
        <v>#VALUE!</v>
      </c>
    </row>
    <row r="55" spans="1:6" x14ac:dyDescent="0.2">
      <c r="A55" s="29" t="str">
        <f t="shared" si="2"/>
        <v>SP-21-0231</v>
      </c>
      <c r="B55" s="31" t="str">
        <f t="shared" si="3"/>
        <v>N/A</v>
      </c>
      <c r="C55" s="28">
        <f>Densidad_Grandes_Grupos!P31</f>
        <v>0</v>
      </c>
      <c r="D55" s="28">
        <f>Densidad_Grandes_Grupos!U31</f>
        <v>0</v>
      </c>
      <c r="E55" s="31" t="e">
        <f t="shared" si="0"/>
        <v>#VALUE!</v>
      </c>
      <c r="F55" s="35" t="e">
        <f t="shared" si="1"/>
        <v>#VALUE!</v>
      </c>
    </row>
    <row r="56" spans="1:6" x14ac:dyDescent="0.2">
      <c r="A56" s="29" t="str">
        <f t="shared" si="2"/>
        <v>SP-21-0231</v>
      </c>
      <c r="B56" s="31" t="str">
        <f t="shared" si="3"/>
        <v>N/A</v>
      </c>
      <c r="C56" s="28">
        <f>Densidad_Grandes_Grupos!P32</f>
        <v>0</v>
      </c>
      <c r="D56" s="28">
        <f>Densidad_Grandes_Grupos!U32</f>
        <v>0</v>
      </c>
      <c r="E56" s="31" t="e">
        <f t="shared" si="0"/>
        <v>#VALUE!</v>
      </c>
      <c r="F56" s="35" t="e">
        <f t="shared" si="1"/>
        <v>#VALUE!</v>
      </c>
    </row>
    <row r="57" spans="1:6" x14ac:dyDescent="0.2">
      <c r="A57" s="29" t="str">
        <f t="shared" si="2"/>
        <v>SP-21-0231</v>
      </c>
      <c r="B57" s="31" t="str">
        <f t="shared" si="3"/>
        <v>N/A</v>
      </c>
      <c r="C57" s="28">
        <f>Densidad_Grandes_Grupos!P33</f>
        <v>0</v>
      </c>
      <c r="D57" s="28">
        <f>Densidad_Grandes_Grupos!U33</f>
        <v>0</v>
      </c>
      <c r="E57" s="31" t="e">
        <f t="shared" si="0"/>
        <v>#VALUE!</v>
      </c>
      <c r="F57" s="35" t="e">
        <f t="shared" si="1"/>
        <v>#VALUE!</v>
      </c>
    </row>
    <row r="58" spans="1:6" x14ac:dyDescent="0.2">
      <c r="A58" s="29" t="str">
        <f t="shared" si="2"/>
        <v>SP-21-0231</v>
      </c>
      <c r="B58" s="31" t="str">
        <f t="shared" si="3"/>
        <v>N/A</v>
      </c>
      <c r="C58" s="28">
        <f>Densidad_Grandes_Grupos!P34</f>
        <v>0</v>
      </c>
      <c r="D58" s="28">
        <f>Densidad_Grandes_Grupos!U34</f>
        <v>0</v>
      </c>
      <c r="E58" s="31" t="e">
        <f t="shared" si="0"/>
        <v>#VALUE!</v>
      </c>
      <c r="F58" s="35" t="e">
        <f t="shared" si="1"/>
        <v>#VALUE!</v>
      </c>
    </row>
    <row r="59" spans="1:6" x14ac:dyDescent="0.2">
      <c r="A59" s="29" t="str">
        <f t="shared" si="2"/>
        <v>SP-21-0231</v>
      </c>
      <c r="B59" s="31" t="str">
        <f t="shared" si="3"/>
        <v>N/A</v>
      </c>
      <c r="C59" s="28">
        <f>Densidad_Grandes_Grupos!P35</f>
        <v>0</v>
      </c>
      <c r="D59" s="28">
        <f>Densidad_Grandes_Grupos!U35</f>
        <v>0</v>
      </c>
      <c r="E59" s="31" t="e">
        <f t="shared" si="0"/>
        <v>#VALUE!</v>
      </c>
      <c r="F59" s="35" t="e">
        <f t="shared" si="1"/>
        <v>#VALUE!</v>
      </c>
    </row>
    <row r="60" spans="1:6" x14ac:dyDescent="0.2">
      <c r="A60" s="29" t="str">
        <f t="shared" si="2"/>
        <v>SP-21-0231</v>
      </c>
      <c r="B60" s="31" t="str">
        <f t="shared" si="3"/>
        <v>N/A</v>
      </c>
      <c r="C60" s="28">
        <f>Densidad_Grandes_Grupos!P36</f>
        <v>0</v>
      </c>
      <c r="D60" s="28">
        <f>Densidad_Grandes_Grupos!U36</f>
        <v>0</v>
      </c>
      <c r="E60" s="31" t="e">
        <f t="shared" si="0"/>
        <v>#VALUE!</v>
      </c>
      <c r="F60" s="35" t="e">
        <f t="shared" si="1"/>
        <v>#VALUE!</v>
      </c>
    </row>
    <row r="61" spans="1:6" x14ac:dyDescent="0.2">
      <c r="A61" s="29" t="str">
        <f t="shared" si="2"/>
        <v>SP-21-0231</v>
      </c>
      <c r="B61" s="31" t="str">
        <f t="shared" si="3"/>
        <v>N/A</v>
      </c>
      <c r="C61" s="28">
        <f>Densidad_Grandes_Grupos!P37</f>
        <v>0</v>
      </c>
      <c r="D61" s="28">
        <f>Densidad_Grandes_Grupos!U37</f>
        <v>0</v>
      </c>
      <c r="E61" s="31" t="e">
        <f t="shared" si="0"/>
        <v>#VALUE!</v>
      </c>
      <c r="F61" s="35" t="e">
        <f t="shared" si="1"/>
        <v>#VALUE!</v>
      </c>
    </row>
    <row r="62" spans="1:6" x14ac:dyDescent="0.2">
      <c r="A62" s="29" t="str">
        <f t="shared" si="2"/>
        <v>SP-21-0231</v>
      </c>
      <c r="B62" s="31" t="str">
        <f t="shared" si="3"/>
        <v>N/A</v>
      </c>
      <c r="C62" s="28">
        <f>Densidad_Grandes_Grupos!W18</f>
        <v>0</v>
      </c>
      <c r="D62" s="28">
        <f>Densidad_Grandes_Grupos!AA18</f>
        <v>0</v>
      </c>
      <c r="E62" s="31" t="e">
        <f t="shared" si="0"/>
        <v>#VALUE!</v>
      </c>
      <c r="F62" s="35" t="e">
        <f t="shared" si="1"/>
        <v>#VALUE!</v>
      </c>
    </row>
    <row r="63" spans="1:6" x14ac:dyDescent="0.2">
      <c r="A63" s="29" t="str">
        <f t="shared" si="2"/>
        <v>SP-21-0231</v>
      </c>
      <c r="B63" s="31" t="str">
        <f t="shared" si="3"/>
        <v>N/A</v>
      </c>
      <c r="C63" s="28">
        <f>Densidad_Grandes_Grupos!W19</f>
        <v>0</v>
      </c>
      <c r="D63" s="28">
        <f>Densidad_Grandes_Grupos!AA19</f>
        <v>0</v>
      </c>
      <c r="E63" s="31" t="e">
        <f t="shared" si="0"/>
        <v>#VALUE!</v>
      </c>
      <c r="F63" s="35" t="e">
        <f t="shared" si="1"/>
        <v>#VALUE!</v>
      </c>
    </row>
    <row r="64" spans="1:6" x14ac:dyDescent="0.2">
      <c r="A64" s="29" t="str">
        <f t="shared" si="2"/>
        <v>SP-21-0231</v>
      </c>
      <c r="B64" s="31" t="str">
        <f t="shared" si="3"/>
        <v>N/A</v>
      </c>
      <c r="C64" s="28">
        <f>Densidad_Grandes_Grupos!W20</f>
        <v>0</v>
      </c>
      <c r="D64" s="28">
        <f>Densidad_Grandes_Grupos!AA20</f>
        <v>0</v>
      </c>
      <c r="E64" s="31" t="e">
        <f t="shared" si="0"/>
        <v>#VALUE!</v>
      </c>
      <c r="F64" s="35" t="e">
        <f t="shared" si="1"/>
        <v>#VALUE!</v>
      </c>
    </row>
    <row r="65" spans="1:6" x14ac:dyDescent="0.2">
      <c r="A65" s="29" t="str">
        <f t="shared" si="2"/>
        <v>SP-21-0231</v>
      </c>
      <c r="B65" s="31" t="str">
        <f t="shared" si="3"/>
        <v>N/A</v>
      </c>
      <c r="C65" s="28">
        <f>Densidad_Grandes_Grupos!W21</f>
        <v>0</v>
      </c>
      <c r="D65" s="28">
        <f>Densidad_Grandes_Grupos!AA21</f>
        <v>0</v>
      </c>
      <c r="E65" s="31" t="e">
        <f t="shared" si="0"/>
        <v>#VALUE!</v>
      </c>
      <c r="F65" s="35" t="e">
        <f t="shared" si="1"/>
        <v>#VALUE!</v>
      </c>
    </row>
    <row r="66" spans="1:6" x14ac:dyDescent="0.2">
      <c r="A66" s="29" t="str">
        <f t="shared" si="2"/>
        <v>SP-21-0231</v>
      </c>
      <c r="B66" s="31" t="str">
        <f t="shared" si="3"/>
        <v>N/A</v>
      </c>
      <c r="C66" s="28">
        <f>Densidad_Grandes_Grupos!W22</f>
        <v>0</v>
      </c>
      <c r="D66" s="28">
        <f>Densidad_Grandes_Grupos!AA22</f>
        <v>0</v>
      </c>
      <c r="E66" s="31" t="e">
        <f t="shared" si="0"/>
        <v>#VALUE!</v>
      </c>
      <c r="F66" s="35" t="e">
        <f t="shared" si="1"/>
        <v>#VALUE!</v>
      </c>
    </row>
    <row r="67" spans="1:6" x14ac:dyDescent="0.2">
      <c r="A67" s="29" t="str">
        <f t="shared" ref="A67:A81" si="4">$A$2</f>
        <v>SP-21-0231</v>
      </c>
      <c r="B67" s="31" t="str">
        <f t="shared" si="3"/>
        <v>N/A</v>
      </c>
      <c r="C67" s="28">
        <f>Densidad_Grandes_Grupos!W23</f>
        <v>0</v>
      </c>
      <c r="D67" s="28">
        <f>Densidad_Grandes_Grupos!AA23</f>
        <v>0</v>
      </c>
      <c r="E67" s="31" t="e">
        <f t="shared" ref="E67:E81" si="5">(D67/B67)</f>
        <v>#VALUE!</v>
      </c>
      <c r="F67" s="35" t="e">
        <f t="shared" ref="F67:F81" si="6">(E67*10000)</f>
        <v>#VALUE!</v>
      </c>
    </row>
    <row r="68" spans="1:6" x14ac:dyDescent="0.2">
      <c r="A68" s="29" t="str">
        <f t="shared" si="4"/>
        <v>SP-21-0231</v>
      </c>
      <c r="B68" s="31" t="str">
        <f t="shared" ref="B68:B81" si="7">$B$2</f>
        <v>N/A</v>
      </c>
      <c r="C68" s="28">
        <f>Densidad_Grandes_Grupos!W24</f>
        <v>0</v>
      </c>
      <c r="D68" s="28">
        <f>Densidad_Grandes_Grupos!AA24</f>
        <v>0</v>
      </c>
      <c r="E68" s="31" t="e">
        <f t="shared" si="5"/>
        <v>#VALUE!</v>
      </c>
      <c r="F68" s="35" t="e">
        <f t="shared" si="6"/>
        <v>#VALUE!</v>
      </c>
    </row>
    <row r="69" spans="1:6" x14ac:dyDescent="0.2">
      <c r="A69" s="29" t="str">
        <f t="shared" si="4"/>
        <v>SP-21-0231</v>
      </c>
      <c r="B69" s="31" t="str">
        <f t="shared" si="7"/>
        <v>N/A</v>
      </c>
      <c r="C69" s="28">
        <f>Densidad_Grandes_Grupos!W25</f>
        <v>0</v>
      </c>
      <c r="D69" s="28">
        <f>Densidad_Grandes_Grupos!AA25</f>
        <v>0</v>
      </c>
      <c r="E69" s="31" t="e">
        <f t="shared" si="5"/>
        <v>#VALUE!</v>
      </c>
      <c r="F69" s="35" t="e">
        <f t="shared" si="6"/>
        <v>#VALUE!</v>
      </c>
    </row>
    <row r="70" spans="1:6" x14ac:dyDescent="0.2">
      <c r="A70" s="29" t="str">
        <f t="shared" si="4"/>
        <v>SP-21-0231</v>
      </c>
      <c r="B70" s="31" t="str">
        <f t="shared" si="7"/>
        <v>N/A</v>
      </c>
      <c r="C70" s="28">
        <f>Densidad_Grandes_Grupos!W26</f>
        <v>0</v>
      </c>
      <c r="D70" s="28">
        <f>Densidad_Grandes_Grupos!AA26</f>
        <v>0</v>
      </c>
      <c r="E70" s="31" t="e">
        <f t="shared" si="5"/>
        <v>#VALUE!</v>
      </c>
      <c r="F70" s="35" t="e">
        <f t="shared" si="6"/>
        <v>#VALUE!</v>
      </c>
    </row>
    <row r="71" spans="1:6" x14ac:dyDescent="0.2">
      <c r="A71" s="29" t="str">
        <f t="shared" si="4"/>
        <v>SP-21-0231</v>
      </c>
      <c r="B71" s="31" t="str">
        <f t="shared" si="7"/>
        <v>N/A</v>
      </c>
      <c r="C71" s="28">
        <f>Densidad_Grandes_Grupos!W27</f>
        <v>0</v>
      </c>
      <c r="D71" s="28">
        <f>Densidad_Grandes_Grupos!AA27</f>
        <v>0</v>
      </c>
      <c r="E71" s="31" t="e">
        <f t="shared" si="5"/>
        <v>#VALUE!</v>
      </c>
      <c r="F71" s="35" t="e">
        <f t="shared" si="6"/>
        <v>#VALUE!</v>
      </c>
    </row>
    <row r="72" spans="1:6" x14ac:dyDescent="0.2">
      <c r="A72" s="29" t="str">
        <f t="shared" si="4"/>
        <v>SP-21-0231</v>
      </c>
      <c r="B72" s="31" t="str">
        <f t="shared" si="7"/>
        <v>N/A</v>
      </c>
      <c r="C72" s="28">
        <f>Densidad_Grandes_Grupos!W28</f>
        <v>0</v>
      </c>
      <c r="D72" s="28">
        <f>Densidad_Grandes_Grupos!AA28</f>
        <v>0</v>
      </c>
      <c r="E72" s="31" t="e">
        <f t="shared" si="5"/>
        <v>#VALUE!</v>
      </c>
      <c r="F72" s="35" t="e">
        <f t="shared" si="6"/>
        <v>#VALUE!</v>
      </c>
    </row>
    <row r="73" spans="1:6" x14ac:dyDescent="0.2">
      <c r="A73" s="29" t="str">
        <f t="shared" si="4"/>
        <v>SP-21-0231</v>
      </c>
      <c r="B73" s="31" t="str">
        <f t="shared" si="7"/>
        <v>N/A</v>
      </c>
      <c r="C73" s="28">
        <f>Densidad_Grandes_Grupos!W29</f>
        <v>0</v>
      </c>
      <c r="D73" s="28">
        <f>Densidad_Grandes_Grupos!AA29</f>
        <v>0</v>
      </c>
      <c r="E73" s="31" t="e">
        <f t="shared" si="5"/>
        <v>#VALUE!</v>
      </c>
      <c r="F73" s="35" t="e">
        <f t="shared" si="6"/>
        <v>#VALUE!</v>
      </c>
    </row>
    <row r="74" spans="1:6" x14ac:dyDescent="0.2">
      <c r="A74" s="29" t="str">
        <f t="shared" si="4"/>
        <v>SP-21-0231</v>
      </c>
      <c r="B74" s="31" t="str">
        <f t="shared" si="7"/>
        <v>N/A</v>
      </c>
      <c r="C74" s="28">
        <f>Densidad_Grandes_Grupos!W30</f>
        <v>0</v>
      </c>
      <c r="D74" s="28">
        <f>Densidad_Grandes_Grupos!AA30</f>
        <v>0</v>
      </c>
      <c r="E74" s="31" t="e">
        <f t="shared" si="5"/>
        <v>#VALUE!</v>
      </c>
      <c r="F74" s="35" t="e">
        <f t="shared" si="6"/>
        <v>#VALUE!</v>
      </c>
    </row>
    <row r="75" spans="1:6" x14ac:dyDescent="0.2">
      <c r="A75" s="29" t="str">
        <f t="shared" si="4"/>
        <v>SP-21-0231</v>
      </c>
      <c r="B75" s="31" t="str">
        <f t="shared" si="7"/>
        <v>N/A</v>
      </c>
      <c r="C75" s="28">
        <f>Densidad_Grandes_Grupos!W31</f>
        <v>0</v>
      </c>
      <c r="D75" s="28">
        <f>Densidad_Grandes_Grupos!AA31</f>
        <v>0</v>
      </c>
      <c r="E75" s="31" t="e">
        <f t="shared" si="5"/>
        <v>#VALUE!</v>
      </c>
      <c r="F75" s="35" t="e">
        <f t="shared" si="6"/>
        <v>#VALUE!</v>
      </c>
    </row>
    <row r="76" spans="1:6" x14ac:dyDescent="0.2">
      <c r="A76" s="29" t="str">
        <f t="shared" si="4"/>
        <v>SP-21-0231</v>
      </c>
      <c r="B76" s="31" t="str">
        <f t="shared" si="7"/>
        <v>N/A</v>
      </c>
      <c r="C76" s="28">
        <f>Densidad_Grandes_Grupos!W32</f>
        <v>0</v>
      </c>
      <c r="D76" s="28">
        <f>Densidad_Grandes_Grupos!AA32</f>
        <v>0</v>
      </c>
      <c r="E76" s="31" t="e">
        <f t="shared" si="5"/>
        <v>#VALUE!</v>
      </c>
      <c r="F76" s="35" t="e">
        <f t="shared" si="6"/>
        <v>#VALUE!</v>
      </c>
    </row>
    <row r="77" spans="1:6" x14ac:dyDescent="0.2">
      <c r="A77" s="29" t="str">
        <f t="shared" si="4"/>
        <v>SP-21-0231</v>
      </c>
      <c r="B77" s="31" t="str">
        <f t="shared" si="7"/>
        <v>N/A</v>
      </c>
      <c r="C77" s="28">
        <f>Densidad_Grandes_Grupos!W33</f>
        <v>0</v>
      </c>
      <c r="D77" s="28">
        <f>Densidad_Grandes_Grupos!AA33</f>
        <v>0</v>
      </c>
      <c r="E77" s="31" t="e">
        <f t="shared" si="5"/>
        <v>#VALUE!</v>
      </c>
      <c r="F77" s="35" t="e">
        <f t="shared" si="6"/>
        <v>#VALUE!</v>
      </c>
    </row>
    <row r="78" spans="1:6" x14ac:dyDescent="0.2">
      <c r="A78" s="29" t="str">
        <f t="shared" si="4"/>
        <v>SP-21-0231</v>
      </c>
      <c r="B78" s="31" t="str">
        <f t="shared" si="7"/>
        <v>N/A</v>
      </c>
      <c r="C78" s="28">
        <f>Densidad_Grandes_Grupos!W34</f>
        <v>0</v>
      </c>
      <c r="D78" s="28">
        <f>Densidad_Grandes_Grupos!AA34</f>
        <v>0</v>
      </c>
      <c r="E78" s="31" t="e">
        <f t="shared" si="5"/>
        <v>#VALUE!</v>
      </c>
      <c r="F78" s="35" t="e">
        <f t="shared" si="6"/>
        <v>#VALUE!</v>
      </c>
    </row>
    <row r="79" spans="1:6" x14ac:dyDescent="0.2">
      <c r="A79" s="29" t="str">
        <f t="shared" si="4"/>
        <v>SP-21-0231</v>
      </c>
      <c r="B79" s="31" t="str">
        <f t="shared" si="7"/>
        <v>N/A</v>
      </c>
      <c r="C79" s="28">
        <f>Densidad_Grandes_Grupos!W35</f>
        <v>0</v>
      </c>
      <c r="D79" s="28">
        <f>Densidad_Grandes_Grupos!AA35</f>
        <v>0</v>
      </c>
      <c r="E79" s="31" t="e">
        <f t="shared" si="5"/>
        <v>#VALUE!</v>
      </c>
      <c r="F79" s="35" t="e">
        <f t="shared" si="6"/>
        <v>#VALUE!</v>
      </c>
    </row>
    <row r="80" spans="1:6" x14ac:dyDescent="0.2">
      <c r="A80" s="29" t="str">
        <f t="shared" si="4"/>
        <v>SP-21-0231</v>
      </c>
      <c r="B80" s="31" t="str">
        <f t="shared" si="7"/>
        <v>N/A</v>
      </c>
      <c r="C80" s="28">
        <f>Densidad_Grandes_Grupos!W36</f>
        <v>0</v>
      </c>
      <c r="D80" s="28">
        <f>Densidad_Grandes_Grupos!AA36</f>
        <v>0</v>
      </c>
      <c r="E80" s="31" t="e">
        <f t="shared" si="5"/>
        <v>#VALUE!</v>
      </c>
      <c r="F80" s="35" t="e">
        <f t="shared" si="6"/>
        <v>#VALUE!</v>
      </c>
    </row>
    <row r="81" spans="1:6" x14ac:dyDescent="0.2">
      <c r="A81" s="29" t="str">
        <f t="shared" si="4"/>
        <v>SP-21-0231</v>
      </c>
      <c r="B81" s="31" t="str">
        <f t="shared" si="7"/>
        <v>N/A</v>
      </c>
      <c r="C81" s="28">
        <f>Densidad_Grandes_Grupos!W37</f>
        <v>0</v>
      </c>
      <c r="D81" s="28">
        <f>Densidad_Grandes_Grupos!AA37</f>
        <v>0</v>
      </c>
      <c r="E81" s="31" t="e">
        <f t="shared" si="5"/>
        <v>#VALUE!</v>
      </c>
      <c r="F81" s="35" t="e">
        <f t="shared" si="6"/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81"/>
  <sheetViews>
    <sheetView workbookViewId="0">
      <selection activeCell="F2" sqref="F2:F81"/>
    </sheetView>
  </sheetViews>
  <sheetFormatPr baseColWidth="10" defaultRowHeight="12.75" x14ac:dyDescent="0.2"/>
  <cols>
    <col min="1" max="1" width="10.7109375" style="28" bestFit="1" customWidth="1"/>
    <col min="2" max="2" width="22.7109375" style="28" customWidth="1"/>
    <col min="3" max="3" width="14.42578125" style="28" bestFit="1" customWidth="1"/>
    <col min="4" max="4" width="21.7109375" style="28" bestFit="1" customWidth="1"/>
    <col min="5" max="5" width="7.42578125" style="28" bestFit="1" customWidth="1"/>
    <col min="6" max="6" width="11.140625" style="28" bestFit="1" customWidth="1"/>
    <col min="7" max="16384" width="11.42578125" style="28"/>
  </cols>
  <sheetData>
    <row r="1" spans="1:6" s="32" customFormat="1" x14ac:dyDescent="0.2">
      <c r="A1" s="32" t="s">
        <v>37</v>
      </c>
      <c r="B1" s="32" t="s">
        <v>51</v>
      </c>
      <c r="C1" s="32" t="s">
        <v>38</v>
      </c>
      <c r="D1" s="32" t="s">
        <v>39</v>
      </c>
      <c r="E1" s="32" t="s">
        <v>48</v>
      </c>
      <c r="F1" s="32" t="s">
        <v>52</v>
      </c>
    </row>
    <row r="2" spans="1:6" x14ac:dyDescent="0.2">
      <c r="A2" s="29" t="str">
        <f>Densidad_Poliquetos!U9</f>
        <v>SP-21-0231</v>
      </c>
      <c r="B2" s="28" t="str">
        <f>Densidad_Poliquetos!W14</f>
        <v>N/A</v>
      </c>
      <c r="C2" s="28" t="str">
        <f>Densidad_Poliquetos!A18</f>
        <v>Loandalia sp (Pilargidae)</v>
      </c>
      <c r="D2" s="28">
        <f>Densidad_Poliquetos!H18</f>
        <v>1</v>
      </c>
      <c r="E2" s="33" t="e">
        <f>(D2/B2)</f>
        <v>#VALUE!</v>
      </c>
      <c r="F2" s="30" t="e">
        <f>(E2*10000)</f>
        <v>#VALUE!</v>
      </c>
    </row>
    <row r="3" spans="1:6" x14ac:dyDescent="0.2">
      <c r="A3" s="29" t="str">
        <f>$A$2</f>
        <v>SP-21-0231</v>
      </c>
      <c r="B3" s="28" t="str">
        <f>$B$2</f>
        <v>N/A</v>
      </c>
      <c r="C3" s="28" t="str">
        <f>Densidad_Poliquetos!A19</f>
        <v>Magelona papillicornis (Magelonidae)</v>
      </c>
      <c r="D3" s="28">
        <f>Densidad_Poliquetos!H19</f>
        <v>1</v>
      </c>
      <c r="E3" s="33" t="e">
        <f t="shared" ref="E3:E66" si="0">(D3/B3)</f>
        <v>#VALUE!</v>
      </c>
      <c r="F3" s="30" t="e">
        <f t="shared" ref="F3:F66" si="1">(E3*10000)</f>
        <v>#VALUE!</v>
      </c>
    </row>
    <row r="4" spans="1:6" x14ac:dyDescent="0.2">
      <c r="A4" s="29" t="str">
        <f t="shared" ref="A4:A67" si="2">$A$2</f>
        <v>SP-21-0231</v>
      </c>
      <c r="B4" s="28" t="str">
        <f t="shared" ref="B4:B67" si="3">$B$2</f>
        <v>N/A</v>
      </c>
      <c r="C4" s="28" t="str">
        <f>Densidad_Poliquetos!A20</f>
        <v>Caulleryaspis sp (Sternaspidae)</v>
      </c>
      <c r="D4" s="28">
        <f>Densidad_Poliquetos!H20</f>
        <v>2</v>
      </c>
      <c r="E4" s="33" t="e">
        <f t="shared" si="0"/>
        <v>#VALUE!</v>
      </c>
      <c r="F4" s="30" t="e">
        <f t="shared" si="1"/>
        <v>#VALUE!</v>
      </c>
    </row>
    <row r="5" spans="1:6" x14ac:dyDescent="0.2">
      <c r="A5" s="29" t="str">
        <f t="shared" si="2"/>
        <v>SP-21-0231</v>
      </c>
      <c r="B5" s="28" t="str">
        <f t="shared" si="3"/>
        <v>N/A</v>
      </c>
      <c r="C5" s="28" t="str">
        <f>Densidad_Poliquetos!A21</f>
        <v>Paraprionospio sp (Spionidae)</v>
      </c>
      <c r="D5" s="28">
        <f>Densidad_Poliquetos!H21</f>
        <v>2</v>
      </c>
      <c r="E5" s="33" t="e">
        <f t="shared" si="0"/>
        <v>#VALUE!</v>
      </c>
      <c r="F5" s="30" t="e">
        <f t="shared" si="1"/>
        <v>#VALUE!</v>
      </c>
    </row>
    <row r="6" spans="1:6" x14ac:dyDescent="0.2">
      <c r="A6" s="29" t="str">
        <f t="shared" si="2"/>
        <v>SP-21-0231</v>
      </c>
      <c r="B6" s="28" t="str">
        <f t="shared" si="3"/>
        <v>N/A</v>
      </c>
      <c r="C6" s="28" t="str">
        <f>Densidad_Poliquetos!A22</f>
        <v>Arabella sp (Oenonidae)</v>
      </c>
      <c r="D6" s="28">
        <f>Densidad_Poliquetos!H22</f>
        <v>2</v>
      </c>
      <c r="E6" s="33" t="e">
        <f t="shared" si="0"/>
        <v>#VALUE!</v>
      </c>
      <c r="F6" s="30" t="e">
        <f t="shared" si="1"/>
        <v>#VALUE!</v>
      </c>
    </row>
    <row r="7" spans="1:6" x14ac:dyDescent="0.2">
      <c r="A7" s="29" t="str">
        <f t="shared" si="2"/>
        <v>SP-21-0231</v>
      </c>
      <c r="B7" s="28" t="str">
        <f t="shared" si="3"/>
        <v>N/A</v>
      </c>
      <c r="C7" s="28" t="str">
        <f>Densidad_Poliquetos!A23</f>
        <v>Capitellidae</v>
      </c>
      <c r="D7" s="28">
        <f>Densidad_Poliquetos!H23</f>
        <v>1</v>
      </c>
      <c r="E7" s="33" t="e">
        <f t="shared" si="0"/>
        <v>#VALUE!</v>
      </c>
      <c r="F7" s="30" t="e">
        <f t="shared" si="1"/>
        <v>#VALUE!</v>
      </c>
    </row>
    <row r="8" spans="1:6" x14ac:dyDescent="0.2">
      <c r="A8" s="29" t="str">
        <f t="shared" si="2"/>
        <v>SP-21-0231</v>
      </c>
      <c r="B8" s="28" t="str">
        <f t="shared" si="3"/>
        <v>N/A</v>
      </c>
      <c r="C8" s="28" t="str">
        <f>Densidad_Poliquetos!A24</f>
        <v>Orbiniidae</v>
      </c>
      <c r="D8" s="28">
        <f>Densidad_Poliquetos!H24</f>
        <v>1</v>
      </c>
      <c r="E8" s="33" t="e">
        <f t="shared" si="0"/>
        <v>#VALUE!</v>
      </c>
      <c r="F8" s="30" t="e">
        <f t="shared" si="1"/>
        <v>#VALUE!</v>
      </c>
    </row>
    <row r="9" spans="1:6" x14ac:dyDescent="0.2">
      <c r="A9" s="29" t="str">
        <f t="shared" si="2"/>
        <v>SP-21-0231</v>
      </c>
      <c r="B9" s="28" t="str">
        <f t="shared" si="3"/>
        <v>N/A</v>
      </c>
      <c r="C9" s="28">
        <f>Densidad_Poliquetos!A25</f>
        <v>0</v>
      </c>
      <c r="D9" s="28">
        <f>Densidad_Poliquetos!H25</f>
        <v>0</v>
      </c>
      <c r="E9" s="33" t="e">
        <f t="shared" si="0"/>
        <v>#VALUE!</v>
      </c>
      <c r="F9" s="30" t="e">
        <f t="shared" si="1"/>
        <v>#VALUE!</v>
      </c>
    </row>
    <row r="10" spans="1:6" x14ac:dyDescent="0.2">
      <c r="A10" s="29" t="str">
        <f t="shared" si="2"/>
        <v>SP-21-0231</v>
      </c>
      <c r="B10" s="28" t="str">
        <f t="shared" si="3"/>
        <v>N/A</v>
      </c>
      <c r="C10" s="28">
        <f>Densidad_Poliquetos!A26</f>
        <v>0</v>
      </c>
      <c r="D10" s="28">
        <f>Densidad_Poliquetos!H26</f>
        <v>0</v>
      </c>
      <c r="E10" s="33" t="e">
        <f t="shared" si="0"/>
        <v>#VALUE!</v>
      </c>
      <c r="F10" s="30" t="e">
        <f t="shared" si="1"/>
        <v>#VALUE!</v>
      </c>
    </row>
    <row r="11" spans="1:6" x14ac:dyDescent="0.2">
      <c r="A11" s="29" t="str">
        <f t="shared" si="2"/>
        <v>SP-21-0231</v>
      </c>
      <c r="B11" s="28" t="str">
        <f t="shared" si="3"/>
        <v>N/A</v>
      </c>
      <c r="C11" s="28">
        <f>Densidad_Poliquetos!A27</f>
        <v>0</v>
      </c>
      <c r="D11" s="28">
        <f>Densidad_Poliquetos!H27</f>
        <v>0</v>
      </c>
      <c r="E11" s="33" t="e">
        <f t="shared" si="0"/>
        <v>#VALUE!</v>
      </c>
      <c r="F11" s="30" t="e">
        <f t="shared" si="1"/>
        <v>#VALUE!</v>
      </c>
    </row>
    <row r="12" spans="1:6" x14ac:dyDescent="0.2">
      <c r="A12" s="29" t="str">
        <f t="shared" si="2"/>
        <v>SP-21-0231</v>
      </c>
      <c r="B12" s="28" t="str">
        <f t="shared" si="3"/>
        <v>N/A</v>
      </c>
      <c r="C12" s="28">
        <f>Densidad_Poliquetos!A28</f>
        <v>0</v>
      </c>
      <c r="D12" s="28">
        <f>Densidad_Poliquetos!H28</f>
        <v>0</v>
      </c>
      <c r="E12" s="33" t="e">
        <f t="shared" si="0"/>
        <v>#VALUE!</v>
      </c>
      <c r="F12" s="30" t="e">
        <f t="shared" si="1"/>
        <v>#VALUE!</v>
      </c>
    </row>
    <row r="13" spans="1:6" x14ac:dyDescent="0.2">
      <c r="A13" s="29" t="str">
        <f t="shared" si="2"/>
        <v>SP-21-0231</v>
      </c>
      <c r="B13" s="28" t="str">
        <f t="shared" si="3"/>
        <v>N/A</v>
      </c>
      <c r="C13" s="28">
        <f>Densidad_Poliquetos!A29</f>
        <v>0</v>
      </c>
      <c r="D13" s="28">
        <f>Densidad_Poliquetos!H29</f>
        <v>0</v>
      </c>
      <c r="E13" s="33" t="e">
        <f t="shared" si="0"/>
        <v>#VALUE!</v>
      </c>
      <c r="F13" s="30" t="e">
        <f t="shared" si="1"/>
        <v>#VALUE!</v>
      </c>
    </row>
    <row r="14" spans="1:6" x14ac:dyDescent="0.2">
      <c r="A14" s="29" t="str">
        <f t="shared" si="2"/>
        <v>SP-21-0231</v>
      </c>
      <c r="B14" s="28" t="str">
        <f t="shared" si="3"/>
        <v>N/A</v>
      </c>
      <c r="C14" s="28">
        <f>Densidad_Poliquetos!A30</f>
        <v>0</v>
      </c>
      <c r="D14" s="28">
        <f>Densidad_Poliquetos!H30</f>
        <v>0</v>
      </c>
      <c r="E14" s="33" t="e">
        <f t="shared" si="0"/>
        <v>#VALUE!</v>
      </c>
      <c r="F14" s="30" t="e">
        <f t="shared" si="1"/>
        <v>#VALUE!</v>
      </c>
    </row>
    <row r="15" spans="1:6" x14ac:dyDescent="0.2">
      <c r="A15" s="29" t="str">
        <f t="shared" si="2"/>
        <v>SP-21-0231</v>
      </c>
      <c r="B15" s="28" t="str">
        <f t="shared" si="3"/>
        <v>N/A</v>
      </c>
      <c r="C15" s="28">
        <f>Densidad_Poliquetos!A31</f>
        <v>0</v>
      </c>
      <c r="D15" s="28">
        <f>Densidad_Poliquetos!H31</f>
        <v>1</v>
      </c>
      <c r="E15" s="33" t="e">
        <f t="shared" si="0"/>
        <v>#VALUE!</v>
      </c>
      <c r="F15" s="30" t="e">
        <f t="shared" si="1"/>
        <v>#VALUE!</v>
      </c>
    </row>
    <row r="16" spans="1:6" x14ac:dyDescent="0.2">
      <c r="A16" s="29" t="str">
        <f t="shared" si="2"/>
        <v>SP-21-0231</v>
      </c>
      <c r="B16" s="28" t="str">
        <f t="shared" si="3"/>
        <v>N/A</v>
      </c>
      <c r="C16" s="28">
        <f>Densidad_Poliquetos!A32</f>
        <v>0</v>
      </c>
      <c r="D16" s="28">
        <f>Densidad_Poliquetos!H32</f>
        <v>0</v>
      </c>
      <c r="E16" s="33" t="e">
        <f t="shared" si="0"/>
        <v>#VALUE!</v>
      </c>
      <c r="F16" s="30" t="e">
        <f t="shared" si="1"/>
        <v>#VALUE!</v>
      </c>
    </row>
    <row r="17" spans="1:6" x14ac:dyDescent="0.2">
      <c r="A17" s="29" t="str">
        <f t="shared" si="2"/>
        <v>SP-21-0231</v>
      </c>
      <c r="B17" s="28" t="str">
        <f t="shared" si="3"/>
        <v>N/A</v>
      </c>
      <c r="C17" s="28">
        <f>Densidad_Poliquetos!A33</f>
        <v>0</v>
      </c>
      <c r="D17" s="28">
        <f>Densidad_Poliquetos!H33</f>
        <v>0</v>
      </c>
      <c r="E17" s="33" t="e">
        <f t="shared" si="0"/>
        <v>#VALUE!</v>
      </c>
      <c r="F17" s="30" t="e">
        <f t="shared" si="1"/>
        <v>#VALUE!</v>
      </c>
    </row>
    <row r="18" spans="1:6" x14ac:dyDescent="0.2">
      <c r="A18" s="29" t="str">
        <f t="shared" si="2"/>
        <v>SP-21-0231</v>
      </c>
      <c r="B18" s="28" t="str">
        <f t="shared" si="3"/>
        <v>N/A</v>
      </c>
      <c r="C18" s="28">
        <f>Densidad_Poliquetos!A34</f>
        <v>0</v>
      </c>
      <c r="D18" s="28">
        <f>Densidad_Poliquetos!H34</f>
        <v>0</v>
      </c>
      <c r="E18" s="33" t="e">
        <f t="shared" si="0"/>
        <v>#VALUE!</v>
      </c>
      <c r="F18" s="30" t="e">
        <f t="shared" si="1"/>
        <v>#VALUE!</v>
      </c>
    </row>
    <row r="19" spans="1:6" x14ac:dyDescent="0.2">
      <c r="A19" s="29" t="str">
        <f t="shared" si="2"/>
        <v>SP-21-0231</v>
      </c>
      <c r="B19" s="28" t="str">
        <f t="shared" si="3"/>
        <v>N/A</v>
      </c>
      <c r="C19" s="28">
        <f>Densidad_Poliquetos!A35</f>
        <v>0</v>
      </c>
      <c r="D19" s="28">
        <f>Densidad_Poliquetos!H35</f>
        <v>0</v>
      </c>
      <c r="E19" s="33" t="e">
        <f t="shared" si="0"/>
        <v>#VALUE!</v>
      </c>
      <c r="F19" s="30" t="e">
        <f t="shared" si="1"/>
        <v>#VALUE!</v>
      </c>
    </row>
    <row r="20" spans="1:6" x14ac:dyDescent="0.2">
      <c r="A20" s="29" t="str">
        <f t="shared" si="2"/>
        <v>SP-21-0231</v>
      </c>
      <c r="B20" s="28" t="str">
        <f t="shared" si="3"/>
        <v>N/A</v>
      </c>
      <c r="C20" s="28">
        <f>Densidad_Poliquetos!A36</f>
        <v>0</v>
      </c>
      <c r="D20" s="28">
        <f>Densidad_Poliquetos!H36</f>
        <v>0</v>
      </c>
      <c r="E20" s="33" t="e">
        <f t="shared" si="0"/>
        <v>#VALUE!</v>
      </c>
      <c r="F20" s="30" t="e">
        <f t="shared" si="1"/>
        <v>#VALUE!</v>
      </c>
    </row>
    <row r="21" spans="1:6" x14ac:dyDescent="0.2">
      <c r="A21" s="29" t="str">
        <f t="shared" si="2"/>
        <v>SP-21-0231</v>
      </c>
      <c r="B21" s="28" t="str">
        <f t="shared" si="3"/>
        <v>N/A</v>
      </c>
      <c r="C21" s="28">
        <f>Densidad_Poliquetos!A37</f>
        <v>0</v>
      </c>
      <c r="D21" s="28">
        <f>Densidad_Poliquetos!H37</f>
        <v>0</v>
      </c>
      <c r="E21" s="33" t="e">
        <f t="shared" si="0"/>
        <v>#VALUE!</v>
      </c>
      <c r="F21" s="30" t="e">
        <f t="shared" si="1"/>
        <v>#VALUE!</v>
      </c>
    </row>
    <row r="22" spans="1:6" x14ac:dyDescent="0.2">
      <c r="A22" s="29" t="str">
        <f t="shared" si="2"/>
        <v>SP-21-0231</v>
      </c>
      <c r="B22" s="28" t="str">
        <f t="shared" si="3"/>
        <v>N/A</v>
      </c>
      <c r="C22" s="28">
        <f>Densidad_Poliquetos!J18</f>
        <v>0</v>
      </c>
      <c r="D22" s="28">
        <f>Densidad_Poliquetos!N18</f>
        <v>0</v>
      </c>
      <c r="E22" s="33" t="e">
        <f t="shared" si="0"/>
        <v>#VALUE!</v>
      </c>
      <c r="F22" s="30" t="e">
        <f t="shared" si="1"/>
        <v>#VALUE!</v>
      </c>
    </row>
    <row r="23" spans="1:6" x14ac:dyDescent="0.2">
      <c r="A23" s="29" t="str">
        <f t="shared" si="2"/>
        <v>SP-21-0231</v>
      </c>
      <c r="B23" s="28" t="str">
        <f t="shared" si="3"/>
        <v>N/A</v>
      </c>
      <c r="C23" s="28">
        <f>Densidad_Poliquetos!J19</f>
        <v>0</v>
      </c>
      <c r="D23" s="28">
        <f>Densidad_Poliquetos!N19</f>
        <v>0</v>
      </c>
      <c r="E23" s="33" t="e">
        <f t="shared" si="0"/>
        <v>#VALUE!</v>
      </c>
      <c r="F23" s="30" t="e">
        <f t="shared" si="1"/>
        <v>#VALUE!</v>
      </c>
    </row>
    <row r="24" spans="1:6" x14ac:dyDescent="0.2">
      <c r="A24" s="29" t="str">
        <f t="shared" si="2"/>
        <v>SP-21-0231</v>
      </c>
      <c r="B24" s="28" t="str">
        <f t="shared" si="3"/>
        <v>N/A</v>
      </c>
      <c r="C24" s="28">
        <f>Densidad_Poliquetos!J20</f>
        <v>0</v>
      </c>
      <c r="D24" s="28">
        <f>Densidad_Poliquetos!N20</f>
        <v>0</v>
      </c>
      <c r="E24" s="33" t="e">
        <f t="shared" si="0"/>
        <v>#VALUE!</v>
      </c>
      <c r="F24" s="30" t="e">
        <f t="shared" si="1"/>
        <v>#VALUE!</v>
      </c>
    </row>
    <row r="25" spans="1:6" x14ac:dyDescent="0.2">
      <c r="A25" s="29" t="str">
        <f t="shared" si="2"/>
        <v>SP-21-0231</v>
      </c>
      <c r="B25" s="28" t="str">
        <f t="shared" si="3"/>
        <v>N/A</v>
      </c>
      <c r="C25" s="28">
        <f>Densidad_Poliquetos!J21</f>
        <v>0</v>
      </c>
      <c r="D25" s="28">
        <f>Densidad_Poliquetos!N21</f>
        <v>0</v>
      </c>
      <c r="E25" s="33" t="e">
        <f t="shared" si="0"/>
        <v>#VALUE!</v>
      </c>
      <c r="F25" s="30" t="e">
        <f t="shared" si="1"/>
        <v>#VALUE!</v>
      </c>
    </row>
    <row r="26" spans="1:6" x14ac:dyDescent="0.2">
      <c r="A26" s="29" t="str">
        <f t="shared" si="2"/>
        <v>SP-21-0231</v>
      </c>
      <c r="B26" s="28" t="str">
        <f t="shared" si="3"/>
        <v>N/A</v>
      </c>
      <c r="C26" s="28">
        <f>Densidad_Poliquetos!J22</f>
        <v>0</v>
      </c>
      <c r="D26" s="28">
        <f>Densidad_Poliquetos!N22</f>
        <v>0</v>
      </c>
      <c r="E26" s="33" t="e">
        <f t="shared" si="0"/>
        <v>#VALUE!</v>
      </c>
      <c r="F26" s="30" t="e">
        <f t="shared" si="1"/>
        <v>#VALUE!</v>
      </c>
    </row>
    <row r="27" spans="1:6" x14ac:dyDescent="0.2">
      <c r="A27" s="29" t="str">
        <f t="shared" si="2"/>
        <v>SP-21-0231</v>
      </c>
      <c r="B27" s="28" t="str">
        <f t="shared" si="3"/>
        <v>N/A</v>
      </c>
      <c r="C27" s="28">
        <f>Densidad_Poliquetos!J23</f>
        <v>0</v>
      </c>
      <c r="D27" s="28">
        <f>Densidad_Poliquetos!N23</f>
        <v>0</v>
      </c>
      <c r="E27" s="33" t="e">
        <f t="shared" si="0"/>
        <v>#VALUE!</v>
      </c>
      <c r="F27" s="30" t="e">
        <f t="shared" si="1"/>
        <v>#VALUE!</v>
      </c>
    </row>
    <row r="28" spans="1:6" x14ac:dyDescent="0.2">
      <c r="A28" s="29" t="str">
        <f t="shared" si="2"/>
        <v>SP-21-0231</v>
      </c>
      <c r="B28" s="28" t="str">
        <f t="shared" si="3"/>
        <v>N/A</v>
      </c>
      <c r="C28" s="28">
        <f>Densidad_Poliquetos!J24</f>
        <v>0</v>
      </c>
      <c r="D28" s="28">
        <f>Densidad_Poliquetos!N24</f>
        <v>0</v>
      </c>
      <c r="E28" s="33" t="e">
        <f t="shared" si="0"/>
        <v>#VALUE!</v>
      </c>
      <c r="F28" s="30" t="e">
        <f t="shared" si="1"/>
        <v>#VALUE!</v>
      </c>
    </row>
    <row r="29" spans="1:6" x14ac:dyDescent="0.2">
      <c r="A29" s="29" t="str">
        <f t="shared" si="2"/>
        <v>SP-21-0231</v>
      </c>
      <c r="B29" s="28" t="str">
        <f t="shared" si="3"/>
        <v>N/A</v>
      </c>
      <c r="C29" s="28">
        <f>Densidad_Poliquetos!J25</f>
        <v>0</v>
      </c>
      <c r="D29" s="28">
        <f>Densidad_Poliquetos!N25</f>
        <v>0</v>
      </c>
      <c r="E29" s="33" t="e">
        <f t="shared" si="0"/>
        <v>#VALUE!</v>
      </c>
      <c r="F29" s="30" t="e">
        <f t="shared" si="1"/>
        <v>#VALUE!</v>
      </c>
    </row>
    <row r="30" spans="1:6" x14ac:dyDescent="0.2">
      <c r="A30" s="29" t="str">
        <f t="shared" si="2"/>
        <v>SP-21-0231</v>
      </c>
      <c r="B30" s="28" t="str">
        <f t="shared" si="3"/>
        <v>N/A</v>
      </c>
      <c r="C30" s="28">
        <f>Densidad_Poliquetos!J26</f>
        <v>0</v>
      </c>
      <c r="D30" s="28">
        <f>Densidad_Poliquetos!N26</f>
        <v>0</v>
      </c>
      <c r="E30" s="33" t="e">
        <f t="shared" si="0"/>
        <v>#VALUE!</v>
      </c>
      <c r="F30" s="30" t="e">
        <f t="shared" si="1"/>
        <v>#VALUE!</v>
      </c>
    </row>
    <row r="31" spans="1:6" x14ac:dyDescent="0.2">
      <c r="A31" s="29" t="str">
        <f t="shared" si="2"/>
        <v>SP-21-0231</v>
      </c>
      <c r="B31" s="28" t="str">
        <f t="shared" si="3"/>
        <v>N/A</v>
      </c>
      <c r="C31" s="28">
        <f>Densidad_Poliquetos!J27</f>
        <v>0</v>
      </c>
      <c r="D31" s="28">
        <f>Densidad_Poliquetos!N27</f>
        <v>0</v>
      </c>
      <c r="E31" s="33" t="e">
        <f t="shared" si="0"/>
        <v>#VALUE!</v>
      </c>
      <c r="F31" s="30" t="e">
        <f t="shared" si="1"/>
        <v>#VALUE!</v>
      </c>
    </row>
    <row r="32" spans="1:6" x14ac:dyDescent="0.2">
      <c r="A32" s="29" t="str">
        <f t="shared" si="2"/>
        <v>SP-21-0231</v>
      </c>
      <c r="B32" s="28" t="str">
        <f t="shared" si="3"/>
        <v>N/A</v>
      </c>
      <c r="C32" s="28">
        <f>Densidad_Poliquetos!J28</f>
        <v>0</v>
      </c>
      <c r="D32" s="28">
        <f>Densidad_Poliquetos!N28</f>
        <v>0</v>
      </c>
      <c r="E32" s="33" t="e">
        <f t="shared" si="0"/>
        <v>#VALUE!</v>
      </c>
      <c r="F32" s="30" t="e">
        <f t="shared" si="1"/>
        <v>#VALUE!</v>
      </c>
    </row>
    <row r="33" spans="1:6" x14ac:dyDescent="0.2">
      <c r="A33" s="29" t="str">
        <f t="shared" si="2"/>
        <v>SP-21-0231</v>
      </c>
      <c r="B33" s="28" t="str">
        <f t="shared" si="3"/>
        <v>N/A</v>
      </c>
      <c r="C33" s="28">
        <f>Densidad_Poliquetos!J29</f>
        <v>0</v>
      </c>
      <c r="D33" s="28">
        <f>Densidad_Poliquetos!N29</f>
        <v>0</v>
      </c>
      <c r="E33" s="33" t="e">
        <f t="shared" si="0"/>
        <v>#VALUE!</v>
      </c>
      <c r="F33" s="30" t="e">
        <f t="shared" si="1"/>
        <v>#VALUE!</v>
      </c>
    </row>
    <row r="34" spans="1:6" x14ac:dyDescent="0.2">
      <c r="A34" s="29" t="str">
        <f t="shared" si="2"/>
        <v>SP-21-0231</v>
      </c>
      <c r="B34" s="28" t="str">
        <f t="shared" si="3"/>
        <v>N/A</v>
      </c>
      <c r="C34" s="28">
        <f>Densidad_Poliquetos!J30</f>
        <v>0</v>
      </c>
      <c r="D34" s="28">
        <f>Densidad_Poliquetos!N30</f>
        <v>0</v>
      </c>
      <c r="E34" s="33" t="e">
        <f t="shared" si="0"/>
        <v>#VALUE!</v>
      </c>
      <c r="F34" s="30" t="e">
        <f t="shared" si="1"/>
        <v>#VALUE!</v>
      </c>
    </row>
    <row r="35" spans="1:6" x14ac:dyDescent="0.2">
      <c r="A35" s="29" t="str">
        <f t="shared" si="2"/>
        <v>SP-21-0231</v>
      </c>
      <c r="B35" s="28" t="str">
        <f t="shared" si="3"/>
        <v>N/A</v>
      </c>
      <c r="C35" s="28">
        <f>Densidad_Poliquetos!J31</f>
        <v>0</v>
      </c>
      <c r="D35" s="28">
        <f>Densidad_Poliquetos!N31</f>
        <v>0</v>
      </c>
      <c r="E35" s="33" t="e">
        <f t="shared" si="0"/>
        <v>#VALUE!</v>
      </c>
      <c r="F35" s="30" t="e">
        <f t="shared" si="1"/>
        <v>#VALUE!</v>
      </c>
    </row>
    <row r="36" spans="1:6" x14ac:dyDescent="0.2">
      <c r="A36" s="29" t="str">
        <f t="shared" si="2"/>
        <v>SP-21-0231</v>
      </c>
      <c r="B36" s="28" t="str">
        <f t="shared" si="3"/>
        <v>N/A</v>
      </c>
      <c r="C36" s="28">
        <f>Densidad_Poliquetos!J32</f>
        <v>0</v>
      </c>
      <c r="D36" s="28">
        <f>Densidad_Poliquetos!N32</f>
        <v>0</v>
      </c>
      <c r="E36" s="33" t="e">
        <f t="shared" si="0"/>
        <v>#VALUE!</v>
      </c>
      <c r="F36" s="30" t="e">
        <f t="shared" si="1"/>
        <v>#VALUE!</v>
      </c>
    </row>
    <row r="37" spans="1:6" x14ac:dyDescent="0.2">
      <c r="A37" s="29" t="str">
        <f t="shared" si="2"/>
        <v>SP-21-0231</v>
      </c>
      <c r="B37" s="28" t="str">
        <f t="shared" si="3"/>
        <v>N/A</v>
      </c>
      <c r="C37" s="28">
        <f>Densidad_Poliquetos!J33</f>
        <v>0</v>
      </c>
      <c r="D37" s="28">
        <f>Densidad_Poliquetos!N33</f>
        <v>0</v>
      </c>
      <c r="E37" s="33" t="e">
        <f t="shared" si="0"/>
        <v>#VALUE!</v>
      </c>
      <c r="F37" s="30" t="e">
        <f t="shared" si="1"/>
        <v>#VALUE!</v>
      </c>
    </row>
    <row r="38" spans="1:6" x14ac:dyDescent="0.2">
      <c r="A38" s="29" t="str">
        <f t="shared" si="2"/>
        <v>SP-21-0231</v>
      </c>
      <c r="B38" s="28" t="str">
        <f t="shared" si="3"/>
        <v>N/A</v>
      </c>
      <c r="C38" s="28">
        <f>Densidad_Poliquetos!J34</f>
        <v>0</v>
      </c>
      <c r="D38" s="28">
        <f>Densidad_Poliquetos!N34</f>
        <v>0</v>
      </c>
      <c r="E38" s="33" t="e">
        <f t="shared" si="0"/>
        <v>#VALUE!</v>
      </c>
      <c r="F38" s="30" t="e">
        <f t="shared" si="1"/>
        <v>#VALUE!</v>
      </c>
    </row>
    <row r="39" spans="1:6" x14ac:dyDescent="0.2">
      <c r="A39" s="29" t="str">
        <f t="shared" si="2"/>
        <v>SP-21-0231</v>
      </c>
      <c r="B39" s="28" t="str">
        <f t="shared" si="3"/>
        <v>N/A</v>
      </c>
      <c r="C39" s="28">
        <f>Densidad_Poliquetos!J35</f>
        <v>0</v>
      </c>
      <c r="D39" s="28">
        <f>Densidad_Poliquetos!N35</f>
        <v>0</v>
      </c>
      <c r="E39" s="33" t="e">
        <f t="shared" si="0"/>
        <v>#VALUE!</v>
      </c>
      <c r="F39" s="30" t="e">
        <f t="shared" si="1"/>
        <v>#VALUE!</v>
      </c>
    </row>
    <row r="40" spans="1:6" x14ac:dyDescent="0.2">
      <c r="A40" s="29" t="str">
        <f t="shared" si="2"/>
        <v>SP-21-0231</v>
      </c>
      <c r="B40" s="28" t="str">
        <f t="shared" si="3"/>
        <v>N/A</v>
      </c>
      <c r="C40" s="28">
        <f>Densidad_Poliquetos!J36</f>
        <v>0</v>
      </c>
      <c r="D40" s="28">
        <f>Densidad_Poliquetos!N36</f>
        <v>0</v>
      </c>
      <c r="E40" s="33" t="e">
        <f t="shared" si="0"/>
        <v>#VALUE!</v>
      </c>
      <c r="F40" s="30" t="e">
        <f t="shared" si="1"/>
        <v>#VALUE!</v>
      </c>
    </row>
    <row r="41" spans="1:6" x14ac:dyDescent="0.2">
      <c r="A41" s="29" t="str">
        <f t="shared" si="2"/>
        <v>SP-21-0231</v>
      </c>
      <c r="B41" s="28" t="str">
        <f t="shared" si="3"/>
        <v>N/A</v>
      </c>
      <c r="C41" s="28">
        <f>Densidad_Poliquetos!J37</f>
        <v>0</v>
      </c>
      <c r="D41" s="28">
        <f>Densidad_Poliquetos!N37</f>
        <v>0</v>
      </c>
      <c r="E41" s="33" t="e">
        <f t="shared" si="0"/>
        <v>#VALUE!</v>
      </c>
      <c r="F41" s="30" t="e">
        <f t="shared" si="1"/>
        <v>#VALUE!</v>
      </c>
    </row>
    <row r="42" spans="1:6" x14ac:dyDescent="0.2">
      <c r="A42" s="29" t="str">
        <f t="shared" si="2"/>
        <v>SP-21-0231</v>
      </c>
      <c r="B42" s="28" t="str">
        <f t="shared" si="3"/>
        <v>N/A</v>
      </c>
      <c r="C42" s="28">
        <f>Densidad_Poliquetos!P18</f>
        <v>0</v>
      </c>
      <c r="D42" s="28">
        <f>Densidad_Poliquetos!U18</f>
        <v>0</v>
      </c>
      <c r="E42" s="33" t="e">
        <f t="shared" si="0"/>
        <v>#VALUE!</v>
      </c>
      <c r="F42" s="30" t="e">
        <f t="shared" si="1"/>
        <v>#VALUE!</v>
      </c>
    </row>
    <row r="43" spans="1:6" x14ac:dyDescent="0.2">
      <c r="A43" s="29" t="str">
        <f t="shared" si="2"/>
        <v>SP-21-0231</v>
      </c>
      <c r="B43" s="28" t="str">
        <f t="shared" si="3"/>
        <v>N/A</v>
      </c>
      <c r="C43" s="28">
        <f>Densidad_Poliquetos!P19</f>
        <v>0</v>
      </c>
      <c r="D43" s="28">
        <f>Densidad_Poliquetos!U19</f>
        <v>0</v>
      </c>
      <c r="E43" s="33" t="e">
        <f t="shared" si="0"/>
        <v>#VALUE!</v>
      </c>
      <c r="F43" s="30" t="e">
        <f t="shared" si="1"/>
        <v>#VALUE!</v>
      </c>
    </row>
    <row r="44" spans="1:6" x14ac:dyDescent="0.2">
      <c r="A44" s="29" t="str">
        <f t="shared" si="2"/>
        <v>SP-21-0231</v>
      </c>
      <c r="B44" s="28" t="str">
        <f t="shared" si="3"/>
        <v>N/A</v>
      </c>
      <c r="C44" s="28">
        <f>Densidad_Poliquetos!P20</f>
        <v>0</v>
      </c>
      <c r="D44" s="28">
        <f>Densidad_Poliquetos!U20</f>
        <v>0</v>
      </c>
      <c r="E44" s="33" t="e">
        <f t="shared" si="0"/>
        <v>#VALUE!</v>
      </c>
      <c r="F44" s="30" t="e">
        <f t="shared" si="1"/>
        <v>#VALUE!</v>
      </c>
    </row>
    <row r="45" spans="1:6" x14ac:dyDescent="0.2">
      <c r="A45" s="29" t="str">
        <f t="shared" si="2"/>
        <v>SP-21-0231</v>
      </c>
      <c r="B45" s="28" t="str">
        <f t="shared" si="3"/>
        <v>N/A</v>
      </c>
      <c r="C45" s="28">
        <f>Densidad_Poliquetos!P21</f>
        <v>0</v>
      </c>
      <c r="D45" s="28">
        <f>Densidad_Poliquetos!U21</f>
        <v>0</v>
      </c>
      <c r="E45" s="33" t="e">
        <f t="shared" si="0"/>
        <v>#VALUE!</v>
      </c>
      <c r="F45" s="30" t="e">
        <f t="shared" si="1"/>
        <v>#VALUE!</v>
      </c>
    </row>
    <row r="46" spans="1:6" x14ac:dyDescent="0.2">
      <c r="A46" s="29" t="str">
        <f t="shared" si="2"/>
        <v>SP-21-0231</v>
      </c>
      <c r="B46" s="28" t="str">
        <f t="shared" si="3"/>
        <v>N/A</v>
      </c>
      <c r="C46" s="28">
        <f>Densidad_Poliquetos!P22</f>
        <v>0</v>
      </c>
      <c r="D46" s="28">
        <f>Densidad_Poliquetos!U22</f>
        <v>0</v>
      </c>
      <c r="E46" s="33" t="e">
        <f t="shared" si="0"/>
        <v>#VALUE!</v>
      </c>
      <c r="F46" s="30" t="e">
        <f t="shared" si="1"/>
        <v>#VALUE!</v>
      </c>
    </row>
    <row r="47" spans="1:6" x14ac:dyDescent="0.2">
      <c r="A47" s="29" t="str">
        <f t="shared" si="2"/>
        <v>SP-21-0231</v>
      </c>
      <c r="B47" s="28" t="str">
        <f t="shared" si="3"/>
        <v>N/A</v>
      </c>
      <c r="C47" s="28">
        <f>Densidad_Poliquetos!P23</f>
        <v>0</v>
      </c>
      <c r="D47" s="28">
        <f>Densidad_Poliquetos!U23</f>
        <v>0</v>
      </c>
      <c r="E47" s="33" t="e">
        <f t="shared" si="0"/>
        <v>#VALUE!</v>
      </c>
      <c r="F47" s="30" t="e">
        <f t="shared" si="1"/>
        <v>#VALUE!</v>
      </c>
    </row>
    <row r="48" spans="1:6" x14ac:dyDescent="0.2">
      <c r="A48" s="29" t="str">
        <f t="shared" si="2"/>
        <v>SP-21-0231</v>
      </c>
      <c r="B48" s="28" t="str">
        <f t="shared" si="3"/>
        <v>N/A</v>
      </c>
      <c r="C48" s="28">
        <f>Densidad_Poliquetos!P24</f>
        <v>0</v>
      </c>
      <c r="D48" s="28">
        <f>Densidad_Poliquetos!U24</f>
        <v>0</v>
      </c>
      <c r="E48" s="33" t="e">
        <f t="shared" si="0"/>
        <v>#VALUE!</v>
      </c>
      <c r="F48" s="30" t="e">
        <f t="shared" si="1"/>
        <v>#VALUE!</v>
      </c>
    </row>
    <row r="49" spans="1:6" x14ac:dyDescent="0.2">
      <c r="A49" s="29" t="str">
        <f t="shared" si="2"/>
        <v>SP-21-0231</v>
      </c>
      <c r="B49" s="28" t="str">
        <f t="shared" si="3"/>
        <v>N/A</v>
      </c>
      <c r="C49" s="28">
        <f>Densidad_Poliquetos!P25</f>
        <v>0</v>
      </c>
      <c r="D49" s="28">
        <f>Densidad_Poliquetos!U25</f>
        <v>0</v>
      </c>
      <c r="E49" s="33" t="e">
        <f t="shared" si="0"/>
        <v>#VALUE!</v>
      </c>
      <c r="F49" s="30" t="e">
        <f t="shared" si="1"/>
        <v>#VALUE!</v>
      </c>
    </row>
    <row r="50" spans="1:6" x14ac:dyDescent="0.2">
      <c r="A50" s="29" t="str">
        <f t="shared" si="2"/>
        <v>SP-21-0231</v>
      </c>
      <c r="B50" s="28" t="str">
        <f t="shared" si="3"/>
        <v>N/A</v>
      </c>
      <c r="C50" s="28">
        <f>Densidad_Poliquetos!P26</f>
        <v>0</v>
      </c>
      <c r="D50" s="28">
        <f>Densidad_Poliquetos!U26</f>
        <v>0</v>
      </c>
      <c r="E50" s="33" t="e">
        <f t="shared" si="0"/>
        <v>#VALUE!</v>
      </c>
      <c r="F50" s="30" t="e">
        <f t="shared" si="1"/>
        <v>#VALUE!</v>
      </c>
    </row>
    <row r="51" spans="1:6" x14ac:dyDescent="0.2">
      <c r="A51" s="29" t="str">
        <f t="shared" si="2"/>
        <v>SP-21-0231</v>
      </c>
      <c r="B51" s="28" t="str">
        <f t="shared" si="3"/>
        <v>N/A</v>
      </c>
      <c r="C51" s="28">
        <f>Densidad_Poliquetos!P27</f>
        <v>0</v>
      </c>
      <c r="D51" s="28">
        <f>Densidad_Poliquetos!U27</f>
        <v>0</v>
      </c>
      <c r="E51" s="33" t="e">
        <f t="shared" si="0"/>
        <v>#VALUE!</v>
      </c>
      <c r="F51" s="30" t="e">
        <f t="shared" si="1"/>
        <v>#VALUE!</v>
      </c>
    </row>
    <row r="52" spans="1:6" x14ac:dyDescent="0.2">
      <c r="A52" s="29" t="str">
        <f t="shared" si="2"/>
        <v>SP-21-0231</v>
      </c>
      <c r="B52" s="28" t="str">
        <f t="shared" si="3"/>
        <v>N/A</v>
      </c>
      <c r="C52" s="28">
        <f>Densidad_Poliquetos!P28</f>
        <v>0</v>
      </c>
      <c r="D52" s="28">
        <f>Densidad_Poliquetos!U28</f>
        <v>0</v>
      </c>
      <c r="E52" s="33" t="e">
        <f t="shared" si="0"/>
        <v>#VALUE!</v>
      </c>
      <c r="F52" s="30" t="e">
        <f t="shared" si="1"/>
        <v>#VALUE!</v>
      </c>
    </row>
    <row r="53" spans="1:6" x14ac:dyDescent="0.2">
      <c r="A53" s="29" t="str">
        <f t="shared" si="2"/>
        <v>SP-21-0231</v>
      </c>
      <c r="B53" s="28" t="str">
        <f t="shared" si="3"/>
        <v>N/A</v>
      </c>
      <c r="C53" s="28">
        <f>Densidad_Poliquetos!P29</f>
        <v>0</v>
      </c>
      <c r="D53" s="28">
        <f>Densidad_Poliquetos!U29</f>
        <v>0</v>
      </c>
      <c r="E53" s="33" t="e">
        <f t="shared" si="0"/>
        <v>#VALUE!</v>
      </c>
      <c r="F53" s="30" t="e">
        <f t="shared" si="1"/>
        <v>#VALUE!</v>
      </c>
    </row>
    <row r="54" spans="1:6" x14ac:dyDescent="0.2">
      <c r="A54" s="29" t="str">
        <f t="shared" si="2"/>
        <v>SP-21-0231</v>
      </c>
      <c r="B54" s="28" t="str">
        <f t="shared" si="3"/>
        <v>N/A</v>
      </c>
      <c r="C54" s="28">
        <f>Densidad_Poliquetos!P30</f>
        <v>0</v>
      </c>
      <c r="D54" s="28">
        <f>Densidad_Poliquetos!U30</f>
        <v>0</v>
      </c>
      <c r="E54" s="33" t="e">
        <f t="shared" si="0"/>
        <v>#VALUE!</v>
      </c>
      <c r="F54" s="30" t="e">
        <f t="shared" si="1"/>
        <v>#VALUE!</v>
      </c>
    </row>
    <row r="55" spans="1:6" x14ac:dyDescent="0.2">
      <c r="A55" s="29" t="str">
        <f t="shared" si="2"/>
        <v>SP-21-0231</v>
      </c>
      <c r="B55" s="28" t="str">
        <f t="shared" si="3"/>
        <v>N/A</v>
      </c>
      <c r="C55" s="28">
        <f>Densidad_Poliquetos!P31</f>
        <v>0</v>
      </c>
      <c r="D55" s="28">
        <f>Densidad_Poliquetos!U31</f>
        <v>0</v>
      </c>
      <c r="E55" s="33" t="e">
        <f t="shared" si="0"/>
        <v>#VALUE!</v>
      </c>
      <c r="F55" s="30" t="e">
        <f t="shared" si="1"/>
        <v>#VALUE!</v>
      </c>
    </row>
    <row r="56" spans="1:6" x14ac:dyDescent="0.2">
      <c r="A56" s="29" t="str">
        <f t="shared" si="2"/>
        <v>SP-21-0231</v>
      </c>
      <c r="B56" s="28" t="str">
        <f t="shared" si="3"/>
        <v>N/A</v>
      </c>
      <c r="C56" s="28">
        <f>Densidad_Poliquetos!P32</f>
        <v>0</v>
      </c>
      <c r="D56" s="28">
        <f>Densidad_Poliquetos!U32</f>
        <v>0</v>
      </c>
      <c r="E56" s="33" t="e">
        <f t="shared" si="0"/>
        <v>#VALUE!</v>
      </c>
      <c r="F56" s="30" t="e">
        <f t="shared" si="1"/>
        <v>#VALUE!</v>
      </c>
    </row>
    <row r="57" spans="1:6" x14ac:dyDescent="0.2">
      <c r="A57" s="29" t="str">
        <f t="shared" si="2"/>
        <v>SP-21-0231</v>
      </c>
      <c r="B57" s="28" t="str">
        <f t="shared" si="3"/>
        <v>N/A</v>
      </c>
      <c r="C57" s="28">
        <f>Densidad_Poliquetos!P33</f>
        <v>0</v>
      </c>
      <c r="D57" s="28">
        <f>Densidad_Poliquetos!U33</f>
        <v>0</v>
      </c>
      <c r="E57" s="33" t="e">
        <f t="shared" si="0"/>
        <v>#VALUE!</v>
      </c>
      <c r="F57" s="30" t="e">
        <f t="shared" si="1"/>
        <v>#VALUE!</v>
      </c>
    </row>
    <row r="58" spans="1:6" x14ac:dyDescent="0.2">
      <c r="A58" s="29" t="str">
        <f t="shared" si="2"/>
        <v>SP-21-0231</v>
      </c>
      <c r="B58" s="28" t="str">
        <f t="shared" si="3"/>
        <v>N/A</v>
      </c>
      <c r="C58" s="28">
        <f>Densidad_Poliquetos!P34</f>
        <v>0</v>
      </c>
      <c r="D58" s="28">
        <f>Densidad_Poliquetos!U34</f>
        <v>0</v>
      </c>
      <c r="E58" s="33" t="e">
        <f t="shared" si="0"/>
        <v>#VALUE!</v>
      </c>
      <c r="F58" s="30" t="e">
        <f t="shared" si="1"/>
        <v>#VALUE!</v>
      </c>
    </row>
    <row r="59" spans="1:6" x14ac:dyDescent="0.2">
      <c r="A59" s="29" t="str">
        <f t="shared" si="2"/>
        <v>SP-21-0231</v>
      </c>
      <c r="B59" s="28" t="str">
        <f t="shared" si="3"/>
        <v>N/A</v>
      </c>
      <c r="C59" s="28">
        <f>Densidad_Poliquetos!P35</f>
        <v>0</v>
      </c>
      <c r="D59" s="28">
        <f>Densidad_Poliquetos!U35</f>
        <v>0</v>
      </c>
      <c r="E59" s="33" t="e">
        <f t="shared" si="0"/>
        <v>#VALUE!</v>
      </c>
      <c r="F59" s="30" t="e">
        <f t="shared" si="1"/>
        <v>#VALUE!</v>
      </c>
    </row>
    <row r="60" spans="1:6" x14ac:dyDescent="0.2">
      <c r="A60" s="29" t="str">
        <f t="shared" si="2"/>
        <v>SP-21-0231</v>
      </c>
      <c r="B60" s="28" t="str">
        <f t="shared" si="3"/>
        <v>N/A</v>
      </c>
      <c r="C60" s="28">
        <f>Densidad_Poliquetos!P36</f>
        <v>0</v>
      </c>
      <c r="D60" s="28">
        <f>Densidad_Poliquetos!U36</f>
        <v>0</v>
      </c>
      <c r="E60" s="33" t="e">
        <f t="shared" si="0"/>
        <v>#VALUE!</v>
      </c>
      <c r="F60" s="30" t="e">
        <f t="shared" si="1"/>
        <v>#VALUE!</v>
      </c>
    </row>
    <row r="61" spans="1:6" x14ac:dyDescent="0.2">
      <c r="A61" s="29" t="str">
        <f t="shared" si="2"/>
        <v>SP-21-0231</v>
      </c>
      <c r="B61" s="28" t="str">
        <f t="shared" si="3"/>
        <v>N/A</v>
      </c>
      <c r="C61" s="28">
        <f>Densidad_Poliquetos!P37</f>
        <v>0</v>
      </c>
      <c r="D61" s="28">
        <f>Densidad_Poliquetos!U37</f>
        <v>0</v>
      </c>
      <c r="E61" s="33" t="e">
        <f t="shared" si="0"/>
        <v>#VALUE!</v>
      </c>
      <c r="F61" s="30" t="e">
        <f t="shared" si="1"/>
        <v>#VALUE!</v>
      </c>
    </row>
    <row r="62" spans="1:6" x14ac:dyDescent="0.2">
      <c r="A62" s="29" t="str">
        <f t="shared" si="2"/>
        <v>SP-21-0231</v>
      </c>
      <c r="B62" s="28" t="str">
        <f t="shared" si="3"/>
        <v>N/A</v>
      </c>
      <c r="C62" s="28">
        <f>Densidad_Poliquetos!W18</f>
        <v>0</v>
      </c>
      <c r="D62" s="28">
        <f>Densidad_Poliquetos!AA18</f>
        <v>0</v>
      </c>
      <c r="E62" s="33" t="e">
        <f t="shared" si="0"/>
        <v>#VALUE!</v>
      </c>
      <c r="F62" s="30" t="e">
        <f t="shared" si="1"/>
        <v>#VALUE!</v>
      </c>
    </row>
    <row r="63" spans="1:6" x14ac:dyDescent="0.2">
      <c r="A63" s="29" t="str">
        <f t="shared" si="2"/>
        <v>SP-21-0231</v>
      </c>
      <c r="B63" s="28" t="str">
        <f t="shared" si="3"/>
        <v>N/A</v>
      </c>
      <c r="C63" s="28">
        <f>Densidad_Poliquetos!W19</f>
        <v>0</v>
      </c>
      <c r="D63" s="28">
        <f>Densidad_Poliquetos!AA19</f>
        <v>0</v>
      </c>
      <c r="E63" s="33" t="e">
        <f t="shared" si="0"/>
        <v>#VALUE!</v>
      </c>
      <c r="F63" s="30" t="e">
        <f t="shared" si="1"/>
        <v>#VALUE!</v>
      </c>
    </row>
    <row r="64" spans="1:6" x14ac:dyDescent="0.2">
      <c r="A64" s="29" t="str">
        <f t="shared" si="2"/>
        <v>SP-21-0231</v>
      </c>
      <c r="B64" s="28" t="str">
        <f t="shared" si="3"/>
        <v>N/A</v>
      </c>
      <c r="C64" s="28">
        <f>Densidad_Poliquetos!W20</f>
        <v>0</v>
      </c>
      <c r="D64" s="28">
        <f>Densidad_Poliquetos!AA20</f>
        <v>0</v>
      </c>
      <c r="E64" s="33" t="e">
        <f t="shared" si="0"/>
        <v>#VALUE!</v>
      </c>
      <c r="F64" s="30" t="e">
        <f t="shared" si="1"/>
        <v>#VALUE!</v>
      </c>
    </row>
    <row r="65" spans="1:6" x14ac:dyDescent="0.2">
      <c r="A65" s="29" t="str">
        <f t="shared" si="2"/>
        <v>SP-21-0231</v>
      </c>
      <c r="B65" s="28" t="str">
        <f t="shared" si="3"/>
        <v>N/A</v>
      </c>
      <c r="C65" s="28">
        <f>Densidad_Poliquetos!W21</f>
        <v>0</v>
      </c>
      <c r="D65" s="28">
        <f>Densidad_Poliquetos!AA21</f>
        <v>0</v>
      </c>
      <c r="E65" s="33" t="e">
        <f t="shared" si="0"/>
        <v>#VALUE!</v>
      </c>
      <c r="F65" s="30" t="e">
        <f t="shared" si="1"/>
        <v>#VALUE!</v>
      </c>
    </row>
    <row r="66" spans="1:6" x14ac:dyDescent="0.2">
      <c r="A66" s="29" t="str">
        <f t="shared" si="2"/>
        <v>SP-21-0231</v>
      </c>
      <c r="B66" s="28" t="str">
        <f t="shared" si="3"/>
        <v>N/A</v>
      </c>
      <c r="C66" s="28">
        <f>Densidad_Poliquetos!W22</f>
        <v>0</v>
      </c>
      <c r="D66" s="28">
        <f>Densidad_Poliquetos!AA22</f>
        <v>0</v>
      </c>
      <c r="E66" s="33" t="e">
        <f t="shared" si="0"/>
        <v>#VALUE!</v>
      </c>
      <c r="F66" s="30" t="e">
        <f t="shared" si="1"/>
        <v>#VALUE!</v>
      </c>
    </row>
    <row r="67" spans="1:6" x14ac:dyDescent="0.2">
      <c r="A67" s="29" t="str">
        <f t="shared" si="2"/>
        <v>SP-21-0231</v>
      </c>
      <c r="B67" s="28" t="str">
        <f t="shared" si="3"/>
        <v>N/A</v>
      </c>
      <c r="C67" s="28">
        <f>Densidad_Poliquetos!W23</f>
        <v>0</v>
      </c>
      <c r="D67" s="28">
        <f>Densidad_Poliquetos!AA23</f>
        <v>0</v>
      </c>
      <c r="E67" s="33" t="e">
        <f t="shared" ref="E67:E81" si="4">(D67/B67)</f>
        <v>#VALUE!</v>
      </c>
      <c r="F67" s="30" t="e">
        <f t="shared" ref="F67:F81" si="5">(E67*10000)</f>
        <v>#VALUE!</v>
      </c>
    </row>
    <row r="68" spans="1:6" x14ac:dyDescent="0.2">
      <c r="A68" s="29" t="str">
        <f t="shared" ref="A68:A81" si="6">$A$2</f>
        <v>SP-21-0231</v>
      </c>
      <c r="B68" s="28" t="str">
        <f t="shared" ref="B68:B81" si="7">$B$2</f>
        <v>N/A</v>
      </c>
      <c r="C68" s="28">
        <f>Densidad_Poliquetos!W24</f>
        <v>0</v>
      </c>
      <c r="D68" s="28">
        <f>Densidad_Poliquetos!AA24</f>
        <v>0</v>
      </c>
      <c r="E68" s="33" t="e">
        <f t="shared" si="4"/>
        <v>#VALUE!</v>
      </c>
      <c r="F68" s="30" t="e">
        <f t="shared" si="5"/>
        <v>#VALUE!</v>
      </c>
    </row>
    <row r="69" spans="1:6" x14ac:dyDescent="0.2">
      <c r="A69" s="29" t="str">
        <f t="shared" si="6"/>
        <v>SP-21-0231</v>
      </c>
      <c r="B69" s="28" t="str">
        <f t="shared" si="7"/>
        <v>N/A</v>
      </c>
      <c r="C69" s="28">
        <f>Densidad_Poliquetos!W25</f>
        <v>0</v>
      </c>
      <c r="D69" s="28">
        <f>Densidad_Poliquetos!AA25</f>
        <v>0</v>
      </c>
      <c r="E69" s="33" t="e">
        <f t="shared" si="4"/>
        <v>#VALUE!</v>
      </c>
      <c r="F69" s="30" t="e">
        <f t="shared" si="5"/>
        <v>#VALUE!</v>
      </c>
    </row>
    <row r="70" spans="1:6" x14ac:dyDescent="0.2">
      <c r="A70" s="29" t="str">
        <f t="shared" si="6"/>
        <v>SP-21-0231</v>
      </c>
      <c r="B70" s="28" t="str">
        <f t="shared" si="7"/>
        <v>N/A</v>
      </c>
      <c r="C70" s="28">
        <f>Densidad_Poliquetos!W26</f>
        <v>0</v>
      </c>
      <c r="D70" s="28">
        <f>Densidad_Poliquetos!AA26</f>
        <v>0</v>
      </c>
      <c r="E70" s="33" t="e">
        <f t="shared" si="4"/>
        <v>#VALUE!</v>
      </c>
      <c r="F70" s="30" t="e">
        <f t="shared" si="5"/>
        <v>#VALUE!</v>
      </c>
    </row>
    <row r="71" spans="1:6" x14ac:dyDescent="0.2">
      <c r="A71" s="29" t="str">
        <f t="shared" si="6"/>
        <v>SP-21-0231</v>
      </c>
      <c r="B71" s="28" t="str">
        <f t="shared" si="7"/>
        <v>N/A</v>
      </c>
      <c r="C71" s="28">
        <f>Densidad_Poliquetos!W27</f>
        <v>0</v>
      </c>
      <c r="D71" s="28">
        <f>Densidad_Poliquetos!AA27</f>
        <v>0</v>
      </c>
      <c r="E71" s="33" t="e">
        <f t="shared" si="4"/>
        <v>#VALUE!</v>
      </c>
      <c r="F71" s="30" t="e">
        <f t="shared" si="5"/>
        <v>#VALUE!</v>
      </c>
    </row>
    <row r="72" spans="1:6" x14ac:dyDescent="0.2">
      <c r="A72" s="29" t="str">
        <f t="shared" si="6"/>
        <v>SP-21-0231</v>
      </c>
      <c r="B72" s="28" t="str">
        <f t="shared" si="7"/>
        <v>N/A</v>
      </c>
      <c r="C72" s="28">
        <f>Densidad_Poliquetos!W28</f>
        <v>0</v>
      </c>
      <c r="D72" s="28">
        <f>Densidad_Poliquetos!AA28</f>
        <v>0</v>
      </c>
      <c r="E72" s="33" t="e">
        <f t="shared" si="4"/>
        <v>#VALUE!</v>
      </c>
      <c r="F72" s="30" t="e">
        <f t="shared" si="5"/>
        <v>#VALUE!</v>
      </c>
    </row>
    <row r="73" spans="1:6" x14ac:dyDescent="0.2">
      <c r="A73" s="29" t="str">
        <f t="shared" si="6"/>
        <v>SP-21-0231</v>
      </c>
      <c r="B73" s="28" t="str">
        <f t="shared" si="7"/>
        <v>N/A</v>
      </c>
      <c r="C73" s="28">
        <f>Densidad_Poliquetos!W29</f>
        <v>0</v>
      </c>
      <c r="D73" s="28">
        <f>Densidad_Poliquetos!AA29</f>
        <v>0</v>
      </c>
      <c r="E73" s="33" t="e">
        <f t="shared" si="4"/>
        <v>#VALUE!</v>
      </c>
      <c r="F73" s="30" t="e">
        <f t="shared" si="5"/>
        <v>#VALUE!</v>
      </c>
    </row>
    <row r="74" spans="1:6" x14ac:dyDescent="0.2">
      <c r="A74" s="29" t="str">
        <f t="shared" si="6"/>
        <v>SP-21-0231</v>
      </c>
      <c r="B74" s="28" t="str">
        <f t="shared" si="7"/>
        <v>N/A</v>
      </c>
      <c r="C74" s="28">
        <f>Densidad_Poliquetos!W30</f>
        <v>0</v>
      </c>
      <c r="D74" s="28">
        <f>Densidad_Poliquetos!AA30</f>
        <v>0</v>
      </c>
      <c r="E74" s="33" t="e">
        <f t="shared" si="4"/>
        <v>#VALUE!</v>
      </c>
      <c r="F74" s="30" t="e">
        <f t="shared" si="5"/>
        <v>#VALUE!</v>
      </c>
    </row>
    <row r="75" spans="1:6" x14ac:dyDescent="0.2">
      <c r="A75" s="29" t="str">
        <f t="shared" si="6"/>
        <v>SP-21-0231</v>
      </c>
      <c r="B75" s="28" t="str">
        <f t="shared" si="7"/>
        <v>N/A</v>
      </c>
      <c r="C75" s="28">
        <f>Densidad_Poliquetos!W31</f>
        <v>0</v>
      </c>
      <c r="D75" s="28">
        <f>Densidad_Poliquetos!AA31</f>
        <v>0</v>
      </c>
      <c r="E75" s="33" t="e">
        <f t="shared" si="4"/>
        <v>#VALUE!</v>
      </c>
      <c r="F75" s="30" t="e">
        <f t="shared" si="5"/>
        <v>#VALUE!</v>
      </c>
    </row>
    <row r="76" spans="1:6" x14ac:dyDescent="0.2">
      <c r="A76" s="29" t="str">
        <f t="shared" si="6"/>
        <v>SP-21-0231</v>
      </c>
      <c r="B76" s="28" t="str">
        <f t="shared" si="7"/>
        <v>N/A</v>
      </c>
      <c r="C76" s="28">
        <f>Densidad_Poliquetos!W32</f>
        <v>0</v>
      </c>
      <c r="D76" s="28">
        <f>Densidad_Poliquetos!AA32</f>
        <v>0</v>
      </c>
      <c r="E76" s="33" t="e">
        <f t="shared" si="4"/>
        <v>#VALUE!</v>
      </c>
      <c r="F76" s="30" t="e">
        <f t="shared" si="5"/>
        <v>#VALUE!</v>
      </c>
    </row>
    <row r="77" spans="1:6" x14ac:dyDescent="0.2">
      <c r="A77" s="29" t="str">
        <f t="shared" si="6"/>
        <v>SP-21-0231</v>
      </c>
      <c r="B77" s="28" t="str">
        <f t="shared" si="7"/>
        <v>N/A</v>
      </c>
      <c r="C77" s="28">
        <f>Densidad_Poliquetos!W33</f>
        <v>0</v>
      </c>
      <c r="D77" s="28">
        <f>Densidad_Poliquetos!AA33</f>
        <v>0</v>
      </c>
      <c r="E77" s="33" t="e">
        <f t="shared" si="4"/>
        <v>#VALUE!</v>
      </c>
      <c r="F77" s="30" t="e">
        <f t="shared" si="5"/>
        <v>#VALUE!</v>
      </c>
    </row>
    <row r="78" spans="1:6" x14ac:dyDescent="0.2">
      <c r="A78" s="29" t="str">
        <f t="shared" si="6"/>
        <v>SP-21-0231</v>
      </c>
      <c r="B78" s="28" t="str">
        <f t="shared" si="7"/>
        <v>N/A</v>
      </c>
      <c r="C78" s="28">
        <f>Densidad_Poliquetos!W34</f>
        <v>0</v>
      </c>
      <c r="D78" s="28">
        <f>Densidad_Poliquetos!AA34</f>
        <v>0</v>
      </c>
      <c r="E78" s="33" t="e">
        <f t="shared" si="4"/>
        <v>#VALUE!</v>
      </c>
      <c r="F78" s="30" t="e">
        <f t="shared" si="5"/>
        <v>#VALUE!</v>
      </c>
    </row>
    <row r="79" spans="1:6" x14ac:dyDescent="0.2">
      <c r="A79" s="29" t="str">
        <f t="shared" si="6"/>
        <v>SP-21-0231</v>
      </c>
      <c r="B79" s="28" t="str">
        <f t="shared" si="7"/>
        <v>N/A</v>
      </c>
      <c r="C79" s="28">
        <f>Densidad_Poliquetos!W35</f>
        <v>0</v>
      </c>
      <c r="D79" s="28">
        <f>Densidad_Poliquetos!AA35</f>
        <v>0</v>
      </c>
      <c r="E79" s="33" t="e">
        <f t="shared" si="4"/>
        <v>#VALUE!</v>
      </c>
      <c r="F79" s="30" t="e">
        <f t="shared" si="5"/>
        <v>#VALUE!</v>
      </c>
    </row>
    <row r="80" spans="1:6" x14ac:dyDescent="0.2">
      <c r="A80" s="29" t="str">
        <f t="shared" si="6"/>
        <v>SP-21-0231</v>
      </c>
      <c r="B80" s="28" t="str">
        <f t="shared" si="7"/>
        <v>N/A</v>
      </c>
      <c r="C80" s="28">
        <f>Densidad_Poliquetos!W36</f>
        <v>0</v>
      </c>
      <c r="D80" s="28">
        <f>Densidad_Poliquetos!AA36</f>
        <v>0</v>
      </c>
      <c r="E80" s="33" t="e">
        <f t="shared" si="4"/>
        <v>#VALUE!</v>
      </c>
      <c r="F80" s="30" t="e">
        <f t="shared" si="5"/>
        <v>#VALUE!</v>
      </c>
    </row>
    <row r="81" spans="1:6" x14ac:dyDescent="0.2">
      <c r="A81" s="29" t="str">
        <f t="shared" si="6"/>
        <v>SP-21-0231</v>
      </c>
      <c r="B81" s="28" t="str">
        <f t="shared" si="7"/>
        <v>N/A</v>
      </c>
      <c r="C81" s="28">
        <f>Densidad_Poliquetos!W37</f>
        <v>0</v>
      </c>
      <c r="D81" s="28">
        <f>Densidad_Poliquetos!AA37</f>
        <v>0</v>
      </c>
      <c r="E81" s="33" t="e">
        <f t="shared" si="4"/>
        <v>#VALUE!</v>
      </c>
      <c r="F81" s="30" t="e">
        <f t="shared" si="5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Densidad_Grandes_Grupos</vt:lpstr>
      <vt:lpstr>Densidad_Poliquetos</vt:lpstr>
      <vt:lpstr>Cálculos_Dens_Grandes_Grupos</vt:lpstr>
      <vt:lpstr>Cálculos_Dens_Poliquetos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FELIPE</cp:lastModifiedBy>
  <cp:lastPrinted>2021-02-22T21:39:25Z</cp:lastPrinted>
  <dcterms:created xsi:type="dcterms:W3CDTF">2009-11-17T21:42:41Z</dcterms:created>
  <dcterms:modified xsi:type="dcterms:W3CDTF">2021-11-05T23:06:49Z</dcterms:modified>
</cp:coreProperties>
</file>